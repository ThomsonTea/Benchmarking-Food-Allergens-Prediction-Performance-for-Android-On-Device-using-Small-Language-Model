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MAD Assignment\"/>
    </mc:Choice>
  </mc:AlternateContent>
  <xr:revisionPtr revIDLastSave="0" documentId="13_ncr:1_{23E463B9-191E-4F67-8E1F-4279E255BE39}" xr6:coauthVersionLast="47" xr6:coauthVersionMax="47" xr10:uidLastSave="{00000000-0000-0000-0000-000000000000}"/>
  <bookViews>
    <workbookView xWindow="-108" yWindow="-108" windowWidth="23256" windowHeight="12456" xr2:uid="{00000000-000D-0000-FFFF-FFFF00000000}"/>
  </bookViews>
  <sheets>
    <sheet name="foodDraw" sheetId="1" r:id="rId1"/>
    <sheet name="Sheet1" sheetId="2" r:id="rId2"/>
  </sheets>
  <definedNames>
    <definedName name="ExternalData_1" localSheetId="0">foodDraw!$A$1:$F$201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alcChain>
</file>

<file path=xl/sharedStrings.xml><?xml version="1.0" encoding="utf-8"?>
<sst xmlns="http://schemas.openxmlformats.org/spreadsheetml/2006/main" count="756" uniqueCount="627">
  <si>
    <t>id</t>
  </si>
  <si>
    <t>name</t>
  </si>
  <si>
    <t>ingredients</t>
  </si>
  <si>
    <t>allergensraw</t>
  </si>
  <si>
    <t>link</t>
  </si>
  <si>
    <t>perly</t>
  </si>
  <si>
    <t>milk cream, cream, sugar, banana, bacteria</t>
  </si>
  <si>
    <t>banana, milk</t>
  </si>
  <si>
    <t>https://world.openfoodfacts.org/product/6111242100992</t>
  </si>
  <si>
    <t>Lait</t>
  </si>
  <si>
    <t>fresh pasteurised semi-skimmed milk with 15g/l of fat</t>
  </si>
  <si>
    <t>milk</t>
  </si>
  <si>
    <t>https://world.openfoodfacts.org/product/6111266962187</t>
  </si>
  <si>
    <t>uht jaouda 1L</t>
  </si>
  <si>
    <t>whole milk</t>
  </si>
  <si>
    <t>https://world.openfoodfacts.org/product/6111242101180</t>
  </si>
  <si>
    <t>Marmite Yeast Extract</t>
  </si>
  <si>
    <t>yeast extract, barley, wheat, oats, rye, salt, vegetable juice concentrate, thiamin, riboflavin, niacin, vitamin B12, folic acid, natural flavouring, celery</t>
  </si>
  <si>
    <t>celery, gluten</t>
  </si>
  <si>
    <t>https://world.openfoodfacts.org/product/50184453</t>
  </si>
  <si>
    <t>Prince Gout Chocolat</t>
  </si>
  <si>
    <t>WHEAT flour 35%, whole WHEAT flour 15.7%, sugar, vegetable oils (palm, rapeseed), low-fat cocoa powder 4.5%, glucose syrup, WHEAT starch, raising agents (ammonium bicarbonate, sodium bicarbonate, disodium diphosphate), emulsifiers (SOY lecithin, sunflower lecithin), salt, skimmed MILK powder, lactose and MILK proteins, flavors, MAY CONTAIN EGG.</t>
  </si>
  <si>
    <t>eggs, gluten, milk, soybeans</t>
  </si>
  <si>
    <t>https://world.openfoodfacts.org/product/7622210449283</t>
  </si>
  <si>
    <t>Nutella</t>
  </si>
  <si>
    <t>UARE ALLE CAD be nutella FERRERO Da co 2252 336 KALE</t>
  </si>
  <si>
    <t>milk, nuts, soybeans</t>
  </si>
  <si>
    <t>https://world.openfoodfacts.org/product/3017620425035</t>
  </si>
  <si>
    <t>Sourdough White Ciabattin</t>
  </si>
  <si>
    <t>Wheat Flour (Fortified with Calcium Carbonate, Iron, Niacin, Thiamin), Water, Salt, Fermented Wheat Flour.</t>
  </si>
  <si>
    <t>gluten</t>
  </si>
  <si>
    <t>https://world.openfoodfacts.org/product/5025125000006</t>
  </si>
  <si>
    <t>Chocolat noir - 85% cacao</t>
  </si>
  <si>
    <t>cocoa mass, low-fat cocoa powder, cocoa butter, sugar, emulsifier: lecithin (soy), vanilla extract, may contain traces of nuts and milk,</t>
  </si>
  <si>
    <t>soybeans</t>
  </si>
  <si>
    <t>https://world.openfoodfacts.org/product/20995553</t>
  </si>
  <si>
    <t>sugar, palm oil, hazelnuts 13%, low-fat cocoa 7.4%, skimmed milk powder 6.6%, whey powder, emulsifiers: lecithins [soya], vanillin, gluten-free,</t>
  </si>
  <si>
    <t>https://world.openfoodfacts.org/product/3017620422003</t>
  </si>
  <si>
    <t>Mandeln</t>
  </si>
  <si>
    <t>shelled almonds</t>
  </si>
  <si>
    <t>nuts</t>
  </si>
  <si>
    <t>https://world.openfoodfacts.org/product/20724696</t>
  </si>
  <si>
    <t>Noix de Cajou non salées</t>
  </si>
  <si>
    <t>Cashews</t>
  </si>
  <si>
    <t>https://world.openfoodfacts.org/product/20267605</t>
  </si>
  <si>
    <t>Sugar, palm oil, _hazelnuts_ (13%), skimmed _milk_ powder (8,7%), fat-reduced cocoa (7,4%), emulsifier: lecithins (_soya_), vanillin.</t>
  </si>
  <si>
    <t>https://world.openfoodfacts.org/product/80177173</t>
  </si>
  <si>
    <t>Cremy</t>
  </si>
  <si>
    <t>fresh milk, sugar, skimmed milk powder, texturizer: starch, cream, flavouring, selected lactic ferments, 3% fat</t>
  </si>
  <si>
    <t>https://world.openfoodfacts.org/product/6111242100305</t>
  </si>
  <si>
    <t>sugar, palm oil, hazelnuts (13%), skimmed milk powder (8,7%), reduced-fat cocoa powder (7,4%), emulsifier: lecithins (soybeans), vanillin,</t>
  </si>
  <si>
    <t>https://world.openfoodfacts.org/product/80135463</t>
  </si>
  <si>
    <t>Spreadable Slightly Salted</t>
  </si>
  <si>
    <t>butter (64%) (milk), rapeseed oil, water, lactic culture (milk), salt</t>
  </si>
  <si>
    <t>https://world.openfoodfacts.org/product/5740900404465</t>
  </si>
  <si>
    <t>Geröstete Mandel Ohne Zucker</t>
  </si>
  <si>
    <t>water, almond (2,3%), sugar, calcium (tri - calcium phosphate), sea salt, stabilisers (locust bean gum, gellan gum), emulsifier (lecithins), natural flavouring, vitamins (b2, b12, e, d2),</t>
  </si>
  <si>
    <t>https://world.openfoodfacts.org/product/5411188112709</t>
  </si>
  <si>
    <t>Notenmix Mélange de Noix ongebrand - non grillé</t>
  </si>
  <si>
    <t>25% Walnusskerne, 25% Haselnusskerne, 25% Cashewkerne, 25% blanchierte Mandeln.</t>
  </si>
  <si>
    <t>https://world.openfoodfacts.org/product/20047238</t>
  </si>
  <si>
    <t>Oat Drink Barista Edition</t>
  </si>
  <si>
    <t>water,  oats  10%, rapeseed oil, acidity regulator (dipotassium phosphate), minerals (calcium carbonate, potassium iodide), salt, vitamins (d2, riboflavin and b12),</t>
  </si>
  <si>
    <t>https://world.openfoodfacts.org/product/7394376616228</t>
  </si>
  <si>
    <t>Cerneaux de Noix</t>
  </si>
  <si>
    <t>possible traces of other nuts and peanuts,</t>
  </si>
  <si>
    <t>https://world.openfoodfacts.org/product/20005733</t>
  </si>
  <si>
    <t>AUTHENTIQUE</t>
  </si>
  <si>
    <t>wholemeal rye flour (77 g*), rye flour (28 g*), yeast, salt, may contain traces of milk and sesame seeds, *in g per 100 g of product,</t>
  </si>
  <si>
    <t>https://world.openfoodfacts.org/product/7300400481595</t>
  </si>
  <si>
    <t>Nocciolata</t>
  </si>
  <si>
    <t>raw sugar, hazelnut paste 18,5%, sunflower oil, skimmed milk powder, low-fat cocoa powder 6,5%, cocoa butter, emulsifier: soy lecithin, vanilla extract</t>
  </si>
  <si>
    <t>https://world.openfoodfacts.org/product/8052575090230</t>
  </si>
  <si>
    <t>Pâte à tartiner noisettes et cacao</t>
  </si>
  <si>
    <t>sugar, hazelnuts 20%, vegetable oils (sunflower, rapeseed), skimmed milk powder, low-fat cocoa powder 5.5%, cocoa butter, emulsifier: sunflower lecithin, vanilla extract, may contain other nuts,</t>
  </si>
  <si>
    <t>milk, nuts</t>
  </si>
  <si>
    <t>https://world.openfoodfacts.org/product/3608580065340</t>
  </si>
  <si>
    <t>Weetabix</t>
  </si>
  <si>
    <t>Wholegrain Wheat (95%), Malted Barley Extract, Sugar, Salt, Niacin, Iron, Riboflavin (B2), Thiamin (B1), Folic Acid.</t>
  </si>
  <si>
    <t>https://world.openfoodfacts.org/product/5010029000016</t>
  </si>
  <si>
    <t>Filled - Dark Chocolate</t>
  </si>
  <si>
    <t>_Wheat_ flour 39%, dark chocolate 25% (cocoa mass, cane sugar, cocoa butter), unrefined brown cane sugar, wholemeal _wheat_ flour 15%, oleic sunflower oil, natural vanilla flavouring, skimmed _milk_ powder, sea salt, raising agents: ammonium carbonates, sodium carbonates, thickener: acacia gum, antioxidant: rosemary extract.</t>
  </si>
  <si>
    <t>gluten, milk, soybeans</t>
  </si>
  <si>
    <t>https://world.openfoodfacts.org/product/3229820100234</t>
  </si>
  <si>
    <t>Extra dark 74% Cocoa</t>
  </si>
  <si>
    <t>cocoa mass, sugar, cocoa butter, fat reduced cocoa powder, emulsifier: lecithins (soya), natural vanilla flavouring, dark chocolate contains: cocoa solids 74% minimum,</t>
  </si>
  <si>
    <t>https://world.openfoodfacts.org/product/20022464</t>
  </si>
  <si>
    <t>Pure Peanut butter</t>
  </si>
  <si>
    <t>peanut puree</t>
  </si>
  <si>
    <t>peanuts</t>
  </si>
  <si>
    <t>https://world.openfoodfacts.org/product/3760020507350</t>
  </si>
  <si>
    <t>Skyr Nature</t>
  </si>
  <si>
    <t>Fat free yogurt (_Milk_).</t>
  </si>
  <si>
    <t>https://world.openfoodfacts.org/product/3329770077003</t>
  </si>
  <si>
    <t>pain à la farine de seigle &amp; graines</t>
  </si>
  <si>
    <t>wheat flour* 41%, water, brown flax seeds 6,1%, yellow flax seeds 6,1%, hulled sunflower seeds 6%, rye flour 5,1%, wheat gluten, roasted malted barley flour, yeast, barley malt extract, salt, vinegar, natural flavouring (contains alcohol), preservative: calcium propionate, antioxidant: acerola extract, possible traces of eggs, milk, sesame seeds, soya and mustard, * ingredient from french fair trade,</t>
  </si>
  <si>
    <t>https://world.openfoodfacts.org/product/3760049798609</t>
  </si>
  <si>
    <t>Jasons Sourdough</t>
  </si>
  <si>
    <t>Wheat Flour (Wheat Flour, Calcium Carbonate, Iron, Niacin, Thiamin), Water, Wholemeal Spelt (Wheat) Flour, Sprouted Spelt (Wheat) Grains (5%), Rye Flour, Salt, Fermented Wheat Flour.</t>
  </si>
  <si>
    <t>https://world.openfoodfacts.org/product/5025125000129</t>
  </si>
  <si>
    <t>Fine Rye Crispbread - Fibre</t>
  </si>
  <si>
    <t>whole rye flour (57 g), wheat bran (27 g), oatmeal (13 g), sesame seeds (7.9 g), wheat germ, salt.</t>
  </si>
  <si>
    <t>gluten, sesame-seeds</t>
  </si>
  <si>
    <t>https://world.openfoodfacts.org/product/7300400481588</t>
  </si>
  <si>
    <t>Krisprolls complets sans sucres ajoutés</t>
  </si>
  <si>
    <t>Whole wheat flour (62%), wheat flour, vegetable oils (fully hydrogenated rapeseed oil), barley malt, yeast, salt.</t>
  </si>
  <si>
    <t>https://world.openfoodfacts.org/product/7311070032611</t>
  </si>
  <si>
    <t>Pesto alla Genovese</t>
  </si>
  <si>
    <t>sunflower oil, fresh basil 30%, cashew nuts, parmigiano reggiano pdo cheese 5%, (milk), maize fibre, whey powder (milk), salt, milk protein, extra virgin olive oil, sugar, basil extract, natural flavourings (milk), acidity regulator: lactic acid, garlic</t>
  </si>
  <si>
    <t>https://world.openfoodfacts.org/product/8076809513753</t>
  </si>
  <si>
    <t>Cruesli - Mixed Nuts</t>
  </si>
  <si>
    <t>whole oats 32%, whole wheat 18%, glucose syrup, sunflower oil, sugar, toasted almonds 4, 2%, hazelnuts 4%, oligofructose, pecans 1, 5%, wheat flour, rice flour, brazil nuts 1%, honey, natural flavours, antioxidant tocopherol, may contain traces of milk, soy and sesame.</t>
  </si>
  <si>
    <t>gluten, nuts</t>
  </si>
  <si>
    <t>https://world.openfoodfacts.org/product/3168930010265</t>
  </si>
  <si>
    <t>Tomato Ketchup</t>
  </si>
  <si>
    <t>tomatoes, spirit vinegar, sugar, salt, spice and herb extracts (contain _celery_), spice</t>
  </si>
  <si>
    <t>celery</t>
  </si>
  <si>
    <t>https://world.openfoodfacts.org/product/50457236</t>
  </si>
  <si>
    <t>Alpro Haverdrink zonder suikers</t>
  </si>
  <si>
    <t>Water, _Oat_ (9.9%), Sunflower oil, Soluble corn fibre, Calcium (Calcium carbonate), Sea salt, Stabiliser (Gellan gum), Potassium iodide, Vitamins B2, D2.</t>
  </si>
  <si>
    <t>gluten, de:Haferbasis</t>
  </si>
  <si>
    <t>https://world.openfoodfacts.org/product/5411188124689</t>
  </si>
  <si>
    <t>Original</t>
  </si>
  <si>
    <t>_WHEAT_ flour, palm oil, glucose syrup, _BARLEY_ malt extract, raising agents (ammonium carbonates, sodium carbonates), salt, _EGGS_, flavouring, flour treatment agent (sodium _METABISULFITE_).</t>
  </si>
  <si>
    <t>eggs, gluten, sulphur-dioxide-and-sulphites</t>
  </si>
  <si>
    <t>https://world.openfoodfacts.org/product/5410041001204</t>
  </si>
  <si>
    <t>Sucre, huile de palme, NOISETTES 13%, LAIT écrémé en poudre 8,7%, cacao maigre 7,4%, émulsifiants : lécithines [ SOJA ] vanilline</t>
  </si>
  <si>
    <t>https://world.openfoodfacts.org/product/3017620429484</t>
  </si>
  <si>
    <t>Jebli</t>
  </si>
  <si>
    <t>white cheese, water cream, milk proteins, salt, coagulants (starch, agar, xatan gum), preservatives (potassium sorbate), flavor, keep cool between 4 and 6° 19% of the fatty substances,</t>
  </si>
  <si>
    <t>https://world.openfoodfacts.org/product/6111206000733</t>
  </si>
  <si>
    <t>nutella</t>
  </si>
  <si>
    <t>Sugar, Palm Oil, Hazelnuts (13%), Skim Milk Powder (8.7%), Cocoa (7.4%), Soy Lecithin As Emulsifier,Vanillin.</t>
  </si>
  <si>
    <t>https://world.openfoodfacts.org/product/59032823</t>
  </si>
  <si>
    <t>Vegan Bouillon powder</t>
  </si>
  <si>
    <t>Sea salt, Potato starch, Hydrolysed vegetable protein (containing soya), Vegetable oil (sunflower, rapeseed), vegetables 7% (onion, parsnip, carrot, leek), Celery seed, Parsley, Turmeric, White pepper, Garlic, Mace, Lovage, Nutmeg.</t>
  </si>
  <si>
    <t>celery, milk, soybeans</t>
  </si>
  <si>
    <t>https://world.openfoodfacts.org/product/50160884</t>
  </si>
  <si>
    <t>Creamy Greek Style Natural Yogurt</t>
  </si>
  <si>
    <t>Milk</t>
  </si>
  <si>
    <t>https://world.openfoodfacts.org/product/4056489148739</t>
  </si>
  <si>
    <t>Gerblé - Apple Hazelnut Cookie, 230g (8.2oz)</t>
  </si>
  <si>
    <t>wheat flour 68,5 %, rapeseed oil, fruit sugar syrup, concentrated apple juice 5,3 %, roasted hazelnuts 5,3 %, wheat germ 5,2 %, chicory fibre: fructooligosaccharides, barley malt extract, natural apple flavour, emulsifier: rapeseed lecithins, wheat starch , baking powders (potassium tartrates, potassium carbonates), vitamins b1, b2,  b6, b9, pp and e, made in a workshop that uses other nuts, lupine, milk, sesame and soy,</t>
  </si>
  <si>
    <t>https://world.openfoodfacts.org/product/3175681851849</t>
  </si>
  <si>
    <t>Le Beurre Tendre Doux</t>
  </si>
  <si>
    <t>cream (origin france), milk fat , lactic ferments,</t>
  </si>
  <si>
    <t>https://world.openfoodfacts.org/product/3451790988677</t>
  </si>
  <si>
    <t>Family Pack</t>
  </si>
  <si>
    <t>Wholegrain _Wheat_ (95%), Malted _Barley_ Extract, Sugar, Salt, Niacin, Iron, Riboflavin (B2), Thiamin (B1), Folic Acid.</t>
  </si>
  <si>
    <t>https://world.openfoodfacts.org/product/5010029000801</t>
  </si>
  <si>
    <t>Flocons avoine</t>
  </si>
  <si>
    <t>100 % wholemeal oat flakes</t>
  </si>
  <si>
    <t>https://world.openfoodfacts.org/product/20003166</t>
  </si>
  <si>
    <t>Organic Vegetable Stock Cubes</t>
  </si>
  <si>
    <t>Sea salt, potato starch, sustainable palm oil, sugar, vegetables 6.8% (_celery_, onion, parsnip, tomato), sunflower oil, yeast extract, caramelised sugar, herbs and spices (lovage, turmeric, parsely, black pepper).</t>
  </si>
  <si>
    <t>https://world.openfoodfacts.org/product/5013665112273</t>
  </si>
  <si>
    <t>Edelbitter 70% Cacao</t>
  </si>
  <si>
    <t>Cocoa Mass, Sugar, Cocoa Butter, Emulsifier: Soya Lecithins, Vanilla Extract.</t>
  </si>
  <si>
    <t>https://world.openfoodfacts.org/product/20095291</t>
  </si>
  <si>
    <t>Tofoo Naked</t>
  </si>
  <si>
    <t>Organic Tofu (Water, Organic _Soya_ Beans 36%, Nigari).</t>
  </si>
  <si>
    <t>https://world.openfoodfacts.org/product/5034467000216</t>
  </si>
  <si>
    <t>sugar, palm oil, hazelnuts, skimmed milk powder, low-fat cocoa, emulsifier: lecithins (soy), vanillin,</t>
  </si>
  <si>
    <t>https://world.openfoodfacts.org/product/80176800</t>
  </si>
  <si>
    <t>Carré Frais</t>
  </si>
  <si>
    <t>skimmed milk (origin: france), salt, lactic ferments.</t>
  </si>
  <si>
    <t>https://world.openfoodfacts.org/product/3480341000674</t>
  </si>
  <si>
    <t>tomatoes, vinegar, sugar, salt, extracts of herbs (celery), extracts of spices, spice</t>
  </si>
  <si>
    <t>https://world.openfoodfacts.org/product/87157215</t>
  </si>
  <si>
    <t>sugar, palm oil, hazelnuts (13%), skimmed milk powder (8,7%), fat-reduced cocoa (7,4%), emulsifier: lecithins (soya), vanillin</t>
  </si>
  <si>
    <t>https://world.openfoodfacts.org/product/4008400401621</t>
  </si>
  <si>
    <t>Gerble - Fig Bran Cookie, 210g (7.5oz)</t>
  </si>
  <si>
    <t>wholemeal wheat flour 26.5%, wheat flour 26.1%, wheat bran 19.9%, rapeseed oil, brown cane sugar, fig paste 5.1%, natural fig flavour, natural flavour, emulsifier: rapeseed lecithins, baking powders (citric acid, potassium carbonates, sodium carbonates), made in a workshop that uses nuts, lupine,  eggs, sesame and soy,</t>
  </si>
  <si>
    <t>https://world.openfoodfacts.org/product/3251490332080</t>
  </si>
  <si>
    <t>Roggen Vollkornbrot</t>
  </si>
  <si>
    <t>Wholemeal Rye, Water, Sourdough (Water, Wholemeal Rye, Rye Flour, Wheat Flour), Wholegrain Rye Flour, Invert Sugar Syrup, Salt, Rye Flakes, Yeast.</t>
  </si>
  <si>
    <t>https://world.openfoodfacts.org/product/20006105</t>
  </si>
  <si>
    <t>Pain De Mie Bio</t>
  </si>
  <si>
    <t>wheat flour*, water, whole wheat flour* 13%, brown cane sugar*, yeast, rapeseed oil*, apple cider vinegar*, wheat bran*, salt, wheat gluten*, ascorbic acid, possible traces of soy</t>
  </si>
  <si>
    <t>https://world.openfoodfacts.org/product/3760049790214</t>
  </si>
  <si>
    <t>Schokolade Excellence 99% Kakao</t>
  </si>
  <si>
    <t>cocoa solids 99%, cocoa paste, fat-reduced cocoa, cocoa butter, demerara sugar, may contain nuts, milk and soya,</t>
  </si>
  <si>
    <t>https://world.openfoodfacts.org/product/3046920028721</t>
  </si>
  <si>
    <t>Seed Sensations</t>
  </si>
  <si>
    <t>Wheat Flour (Calcium, Iron, Niacin, Thiamin), Water, Seed Mix 13% (Toasted Brown Linseed, Toasted Sunflower Seeds, Pumpkin Seeds, Sunflower Seeds, Millet Seeds, Golden Linseed, Poppy Seeds), Yeast, Wheat  Protein, Salt, Soya Flour, Malted Barley Flour, Granulated Sugar, Barley Flour, Preservative (E282), Caramelised Sugar, Barley Fibre, Emulsifier (E472e), Flour Treatment Agent (Ascorbic Acid).</t>
  </si>
  <si>
    <t>gluten, soybeans</t>
  </si>
  <si>
    <t>https://world.openfoodfacts.org/product/5010003064744</t>
  </si>
  <si>
    <t>sardines huile d olive</t>
  </si>
  <si>
    <t>sardines , extra virgin olive oil, salt,</t>
  </si>
  <si>
    <t>fish</t>
  </si>
  <si>
    <t>https://world.openfoodfacts.org/product/3019081238643</t>
  </si>
  <si>
    <t>Milka Alpine Milk Chocolate Bar</t>
  </si>
  <si>
    <t>Sugar, Cocoa butter, Cocoa mass, Skimmed milk powder, Sweet whey powder (from milk), Concentrated butter, Emulsifier (Soya lecithine), Hazelnut Paste, Flavouring</t>
  </si>
  <si>
    <t>https://world.openfoodfacts.org/product/3045140105502</t>
  </si>
  <si>
    <t>Tomatoes, Spirit Vinegar, Sugar, Salt, Spice and Herb Extracts (Celery), Spice</t>
  </si>
  <si>
    <t>https://world.openfoodfacts.org/product/50457250</t>
  </si>
  <si>
    <t>Bakery Co. 5 The Original Bagels</t>
  </si>
  <si>
    <t>WHEAT Flour (with added Calcium Carbonate, Iron, Niacin, Thiamin), Water, Sugar, Yeast, Vinegar, Salt, Rapeseed Oil, Preservative (Calcium Propionate), Maize, Sweet potato puree, Malted BARLEY Flour, Flour Treatment Agent (Ascorbic Acid)</t>
  </si>
  <si>
    <t>https://world.openfoodfacts.org/product/5020364010113</t>
  </si>
  <si>
    <t>Sliced ​​Brioche</t>
  </si>
  <si>
    <t>WHEAT flour*/** 54%, whole EGGS*/** 14%, brown cane sugar*, sunflower oil*, sourdough* (water, WHEAT*/** 2% and RYE* flours, yeasts), WHEAT GLUTEN*, natural vanilla flavouring* (contains alcohol*), salt, yeast, vanilla extract*, deactivated yeast. Possible traces of milk, mustard and soya. *Ingredients from Organic Farming. **Ingredients from French fair trade.</t>
  </si>
  <si>
    <t>eggs, gluten</t>
  </si>
  <si>
    <t>https://world.openfoodfacts.org/product/3284230006408</t>
  </si>
  <si>
    <t>Philadelphia</t>
  </si>
  <si>
    <t>Full fat soft CHEESE, salt, stabiliser (guar gum), acid (citric acid). Made with pasteurised milk.</t>
  </si>
  <si>
    <t>https://world.openfoodfacts.org/product/7622201693916</t>
  </si>
  <si>
    <t>Tomatoes, Spirit Vinegar, Sugar, Salt, Spice and Herb Extracts (contain Celery), Spice.</t>
  </si>
  <si>
    <t>https://world.openfoodfacts.org/product/50457243</t>
  </si>
  <si>
    <t>Real Mayonnaise</t>
  </si>
  <si>
    <t>rapeseed oil (78%), _egg_ , _egg_ yolk (7,9%), water, spirit vinegar, sugar, salt, lemon juice concentrate, flavourings, antioxidant (calcium disodium EDTA), paprika extract, sunflower oil</t>
  </si>
  <si>
    <t>eggs</t>
  </si>
  <si>
    <t>https://world.openfoodfacts.org/product/8722700479475</t>
  </si>
  <si>
    <t>Vegetable Fat Spread with 10% Olive Oil</t>
  </si>
  <si>
    <t>Vegetable oils (rapeseed, palm, olive (10%)), water, salt (1.1%), buttermilk (_milk_), emulsifiers (mono - &amp; diglycerides of fatty acids, lecithin), natural flavourings, vitamins A &amp; D.</t>
  </si>
  <si>
    <t>https://world.openfoodfacts.org/product/8719200237902</t>
  </si>
  <si>
    <t>Pesto Rosso</t>
  </si>
  <si>
    <t>Tomato pulp 37%, sunflower oil, tomato concentrate 15%, Grana Padano PDO cheese (milk, lysozyme from egg), cashews, sugar, salt, basil, Balsamic Vinegar of Modena (wine vinegar, cooked grape must) 2%, whey powder (milk), Pecorino Romano PDO cheese (sheep's milk), rice starch, garlic, acidity regulator: lactic acid, natural flavouring (milk).</t>
  </si>
  <si>
    <t>eggs, milk, nuts</t>
  </si>
  <si>
    <t>https://world.openfoodfacts.org/product/8076809523547</t>
  </si>
  <si>
    <t>Fruit &amp; Nut Mix</t>
  </si>
  <si>
    <t>25% Walnuts, 25% Whole Almonds, 25% Sultanas (Sultanas, Sunflower Oil), 25% Dried Sweetened Cranberries (Cranberries, Sugar, Sunflower Oil).</t>
  </si>
  <si>
    <t>nuts, sulphur-dioxide-and-sulphites</t>
  </si>
  <si>
    <t>https://world.openfoodfacts.org/product/20815394</t>
  </si>
  <si>
    <t>Fresh Square - Plain</t>
  </si>
  <si>
    <t>Skimmed milk and cream (origin: France), salt, lactic ferments.</t>
  </si>
  <si>
    <t>https://world.openfoodfacts.org/product/3480341000636</t>
  </si>
  <si>
    <t>Mayonnaise</t>
  </si>
  <si>
    <t>rapeseed oil (78%), egg , egg yolk (7,9%), water, spirit vinegar, sugar, salt, lemon juice concentrate, flavourings, antioxidant (calcium disodium edta), paprika extract, sunflower oil,</t>
  </si>
  <si>
    <t>https://world.openfoodfacts.org/product/8718114724485</t>
  </si>
  <si>
    <t>Alpro Plantaardig variatie vanille</t>
  </si>
  <si>
    <t>water, hulled soybeans (7.3%), sugar, glucose-fructose syrup, stabiliser (pectin), acidity regulators (citric acid, sodium citrate), tricalcium phosphate, carrot extract, sea salt, vitamins (riboflavin (b2), b12, d2), flavouring, natural flavouring, vanilla powder (0.03%), antioxidants (tocopherol extract, ascorbyl palminate), yoghurt cultures (s, thermophilus, l, bulgaricus)</t>
  </si>
  <si>
    <t>https://world.openfoodfacts.org/product/5411188103387</t>
  </si>
  <si>
    <t>Whole wheat (95%), malted barley extract, sugar, salt, niacin, iron, riboflavin (b2), thiamin (b1), folic acid.</t>
  </si>
  <si>
    <t>https://world.openfoodfacts.org/product/5010029000023</t>
  </si>
  <si>
    <t>Almond Drink</t>
  </si>
  <si>
    <t>water, 2,3% almonds', maltodextrins', sea salt, stabilizers: carob seed flour, gellanic gum, emulsifier: sunflower lecithin', natural aroma, 'from organic farming</t>
  </si>
  <si>
    <t>https://world.openfoodfacts.org/product/4056489346357</t>
  </si>
  <si>
    <t>5% Greek Yogurt</t>
  </si>
  <si>
    <t>Pasteurised skimmed milk, cream (milk), live active yoghurt cultures (L. Bulgaricus, S. Thermophilus, L. Acidophilus, Bifidus, L. Casei).  no palm oil</t>
  </si>
  <si>
    <t>https://world.openfoodfacts.org/product/5201054017432</t>
  </si>
  <si>
    <t>Wheat Bisks</t>
  </si>
  <si>
    <t>whole wheat (95%), barley malt extract, sugar, salt, niacin, iron, riboflavin, thiamin, folic acid,</t>
  </si>
  <si>
    <t>https://world.openfoodfacts.org/product/4088600247519</t>
  </si>
  <si>
    <t>Mild Dark</t>
  </si>
  <si>
    <t>cocoa mass, sugar, cocoa butter, emulsifier (soya lecithin), vanilla, may contain hazelnuts, almonds, milk,</t>
  </si>
  <si>
    <t>https://world.openfoodfacts.org/product/3046920029780</t>
  </si>
  <si>
    <t>St hubert bio doux 230g ss hdp</t>
  </si>
  <si>
    <t>organic vegetable oils 52% (oleic sunflower, rapeseed, coconut, shea, hazelnut), water, salt, emulsifier (organic soy lecithin), stabilizing (pectin),</t>
  </si>
  <si>
    <t>nuts, soybeans</t>
  </si>
  <si>
    <t>https://world.openfoodfacts.org/product/3366321052386</t>
  </si>
  <si>
    <t>Sour Cream &amp; Onion Potato Chips</t>
  </si>
  <si>
    <t>Dehydrated potatoes, vegetable oils (Conflower, corn), rice flour, wheat starch, corn flour, sour cream &amp; onion flavour, wheat starch, flavour enhancers (monosodium glutamate, disodium guanylate, disodium inosinate}, onion powder, maltodextrin, salt, dextrose, sunflower oil, sugar, sweet whey powder (milk), potato starch, modified maize starch, acids (citric acid, lactic acid, malic acid), sour cream powder (milk)*, natural and nature identical flavourings onion powder and sour cream yeast extract, glucose syrup, four), emulsifier (E471) colour (annatto). milk.</t>
  </si>
  <si>
    <t>gluten, milk</t>
  </si>
  <si>
    <t>https://world.openfoodfacts.org/product/5053990101597</t>
  </si>
  <si>
    <t>Nesquik</t>
  </si>
  <si>
    <t>sugar, natural defatted cocoa powder 23%, emulsifier (soy lecithin), salt, vitamins (c, d), natural aroma, cinnamon,</t>
  </si>
  <si>
    <t>https://world.openfoodfacts.org/product/7613039490266</t>
  </si>
  <si>
    <t>Arome MAGGI</t>
  </si>
  <si>
    <t>flavors (wheat protein) water - salt - flavor enhancers : monosodium glutamate, inosinate disodium - sugar</t>
  </si>
  <si>
    <t>https://world.openfoodfacts.org/product/3033710084913</t>
  </si>
  <si>
    <t>Tartines campagne 450g</t>
  </si>
  <si>
    <t>wheat flour* 57%, water, rapeseed oil, wheat gluten, yeast, durum wheat semolina, devitalized wheat sourdoughs, salt, natural flavouring (contains alcohol), preservative: calcium propionate, ree flour, roasted malted barley flour, deactivated yeast, roasted malted wheat flour, antioxidant: ascorbic acid, possible traces of eggs, soy and milk,* ingredient from french fair trade,</t>
  </si>
  <si>
    <t>https://world.openfoodfacts.org/product/3760049791006</t>
  </si>
  <si>
    <t>sugar, palm oil, hazelnuts (13 %), low fat cocoa, skimmed milk powder (8,7%), emulsifier: lecithins ( soya ), vanillin,</t>
  </si>
  <si>
    <t>milk, nuts, soybeans, de:Fruits à coque</t>
  </si>
  <si>
    <t>https://world.openfoodfacts.org/product/4008400404127</t>
  </si>
  <si>
    <t>Pepsil</t>
  </si>
  <si>
    <t>61% farine de blé complet, eau, sucre, 3% farine de blé, huile de colza, sel, levure, farine de fève, arôme, alcool</t>
  </si>
  <si>
    <t>https://world.openfoodfacts.org/product/4056489007180</t>
  </si>
  <si>
    <t>Biscoff Creamy</t>
  </si>
  <si>
    <t>wheat flour, sugar, vegetable oils (palm oil, rapeseed oil), golden syrup, baking powder (sodium acid carbonate), soy flour, salt, cinnamon, rapeseed oil, sugar, emulsifier (soy lecithin), acidifier (citric acid)</t>
  </si>
  <si>
    <t>https://world.openfoodfacts.org/product/5410126006957</t>
  </si>
  <si>
    <t>Granola</t>
  </si>
  <si>
    <t>wheat flour 48%, milk chocolate 27% sugar, cocoa mass, cocoa butter, whey powder (from milk), skimmed milk powder, vegetable fats (palm, shea in varying proportions), concentrated butter, emulsifiers (soy lecithins, e476), lactose (milk), aromamel, vegetable oils (palm, copra), sugar, sugar syrup, wheat bran, baking powder (sodium carbonates,  ammonium carbonates), salt, wheat germ, acidity regulator (citric acid), may contain eggs, nuts, sesame,</t>
  </si>
  <si>
    <t>https://world.openfoodfacts.org/product/7622210601988</t>
  </si>
  <si>
    <t>Kinder Bueno</t>
  </si>
  <si>
    <t>MILK chocolate 31.5% (sugar, cocoa butter, cocoa mass, skimmed MILK powder, concentrated POTTER, emulsifier: lecithins (SOYA), vanillin), sugar, palm oil, WHEAT flour, HAZELNUTS (10.5%), skimmed MILK powder, MILK powder, chocolate (sugar, cocoa mass, cocoa butter, emulsifier: lecithins (SOYA), vanillin), fat-reduced cocoa, emulsifier: lecithins (SOYA), raising agent (sodium bicarbonate), salt, vanillin.</t>
  </si>
  <si>
    <t>gluten, milk, nuts, soybeans</t>
  </si>
  <si>
    <t>https://world.openfoodfacts.org/product/80052760</t>
  </si>
  <si>
    <t>Skyr | Natural Fat Free | 0% Fat</t>
  </si>
  <si>
    <t>skimmed  milk</t>
  </si>
  <si>
    <t>https://world.openfoodfacts.org/product/4016241030573</t>
  </si>
  <si>
    <t>wasa</t>
  </si>
  <si>
    <t>Farine complète de SEIGLE (110 g*), sel.</t>
  </si>
  <si>
    <t>https://world.openfoodfacts.org/product/7300400481571</t>
  </si>
  <si>
    <t>Yogurt Greek Style</t>
  </si>
  <si>
    <t>cream, skimmed milk retentate, microbial cultures,</t>
  </si>
  <si>
    <t>https://world.openfoodfacts.org/product/20047559</t>
  </si>
  <si>
    <t>Henrys Sable Coco Biscuit 85g</t>
  </si>
  <si>
    <t>Farine De Froment, Sucre, Sucre Inverti, Noix De Coco, Poudre De Lait, Lactosérum, Sel, Agents Levants Bicarbonate Dammonium, Bicarbonate De Sodium, Arôme Coco, Graisse Végétale.</t>
  </si>
  <si>
    <t>https://world.openfoodfacts.org/product/3362600001106</t>
  </si>
  <si>
    <t>Original Cracotte</t>
  </si>
  <si>
    <t>cereals to 97,8 % (wheat flour 97,3 %, rye flour ), sugar, whey powder (milk ), palm oil, salt, mineral (diphosphate ferric), emulsifier (sunflower lecithin)</t>
  </si>
  <si>
    <t>https://world.openfoodfacts.org/product/3041090063114</t>
  </si>
  <si>
    <t>Gerblé - Grape Biscuit 16pc, 270g (9.6oz)</t>
  </si>
  <si>
    <t>wheat flour 61.4%, rapeseed oil, brown cane sugar, grape paste 7%, wheat germ 5.2%, wheat starch, raisins 2.8%, wheat fibre, magnesium, emulsifier: rapeseed lecithins, natural flavour, baking powders (potassium tartrates, sodium carbonates), vitamins b1, b6, b9, d and e,</t>
  </si>
  <si>
    <t>https://world.openfoodfacts.org/product/3175681851856</t>
  </si>
  <si>
    <t>BN Chocolat</t>
  </si>
  <si>
    <t>Cereals (Wheat Flour (33%) - Wholemeal Wheat Flour (15%), Wholemeal Rye Flour, Wholemeal Barley Flour) - Sugar - Vegetable Fats (Palm, Palm Kernel, Rapeseed) - Fat Reduced Cocoa Powder (4.7%) - Starches (Wheat) - Glucose Syrup - Raising Agents: Ammonium Bicarbonate, Sodium Bicarbonate - Salt - Dried Skimmed Milk - Milk Solids - Emulsifier: Sunflower Lecithins - Flavourings. May Contain Traces of Nuts.</t>
  </si>
  <si>
    <t>https://world.openfoodfacts.org/product/3061990143365</t>
  </si>
  <si>
    <t>digestives</t>
  </si>
  <si>
    <t>Flour (55%) (Wheat Flour, Calcium, Iron, Niacin, Thiamin), Vegetable Oil (Palm), Wholemeal Wheat Flour (16%), Sugar, Partially Inverted Sugar Syrup, Raising Agents (Sodium Bicarbonate, Malic Acid, Ammonium Bicarbonate), Salt. For allergens, including cereals containing gluten, see ingredients in bold. May also contain Milk. BY APPOINTMENT TO HER MAJESTY THE QUEEN BISCUIT MANUFACTURERS UNITED BISCUITS (UIO LIMITED, LONDON FOR SUITABLE FEGETARIAN V Suitable for Vegans 360a4</t>
  </si>
  <si>
    <t>https://world.openfoodfacts.org/product/5000168036755</t>
  </si>
  <si>
    <t>Alpro Amandeldrink original</t>
  </si>
  <si>
    <t>Water, almond (2,3%), sugar, tri-calcium phosphate, sea salt, stabilisers (locust bean gum, gellan gum), emulsifier (lecithins (sunflower)], natural flavouring, vitamins (B2, B12, E, D2]. May contain traces of nuts (no peanuts).</t>
  </si>
  <si>
    <t>https://world.openfoodfacts.org/product/5411188110835</t>
  </si>
  <si>
    <t>Brioche tressée à la main sans additifs</t>
  </si>
  <si>
    <t>wheat flour 52%, eggs 12%, water, rapeseed oil 11%, sugar 9%, glucose-fructose syrup, sugar beaded 2,4% (sugar, vegetable fat : shea butter, aroma), wheat gluten, yeast, flavourings including orange flower (contains alcohol), vegetable extracts for coloring (turmeric, paprika), salt, fiber of wheat, flour, malted barley extract, acerola, may contain traces of soy, milk, fruits nuts and sesame seeds,</t>
  </si>
  <si>
    <t>https://world.openfoodfacts.org/product/3228857001231</t>
  </si>
  <si>
    <t>Crunchy Peanut Butter</t>
  </si>
  <si>
    <t>roasted _peanuts_ 97%, sustainable palm oil, sea salt.</t>
  </si>
  <si>
    <t>https://world.openfoodfacts.org/product/5013665108801</t>
  </si>
  <si>
    <t>Brazil Nuts</t>
  </si>
  <si>
    <t>Whole Brazil nuts</t>
  </si>
  <si>
    <t>https://world.openfoodfacts.org/product/20202392</t>
  </si>
  <si>
    <t>Peanut butter creamy</t>
  </si>
  <si>
    <t>roasted peanuts of the americas 86%, vegetable butter (salt, cocoa), sugar, salt,</t>
  </si>
  <si>
    <t>milk, peanuts</t>
  </si>
  <si>
    <t>https://world.openfoodfacts.org/product/3327272107259</t>
  </si>
  <si>
    <t>Snickers</t>
  </si>
  <si>
    <t>Milk Chocolate (sugar, cocoa butter, chocolate, skim milk, lactose, milkfat, soy lecithin), peanuts, corn syrup, sugar, palm oil, skim milk, lactose, salt, egg whites, artificial flavor.</t>
  </si>
  <si>
    <t>eggs, milk, peanuts, soybeans</t>
  </si>
  <si>
    <t>https://world.openfoodfacts.org/product/5000159461122</t>
  </si>
  <si>
    <t>100% mie Complet-Volkoren</t>
  </si>
  <si>
    <t>flour full of wheat, and 37%, water, wheat flour, rapeseed oil, sugar, salt, flavour (contains alcohol), wheat gluten, rye flour and malted, yeast, vinegar, extract of acerola, may contain traces of eggs, soya, milk, nuts, sesame seeds,</t>
  </si>
  <si>
    <t>https://world.openfoodfacts.org/product/3228857000166</t>
  </si>
  <si>
    <t>Crumpets</t>
  </si>
  <si>
    <t>Wheat Flour (with Calcium, Iron, Niacin (B3) ,Thiamin (B1)), Water, Yeast, Raising Agents: E450, E500, E501, Salt, Sugar, Preservative: Calcium Propionate.</t>
  </si>
  <si>
    <t>https://world.openfoodfacts.org/product/5010044000701</t>
  </si>
  <si>
    <t>Figolu</t>
  </si>
  <si>
    <t>wheat flour 34%, fig paste 26%, sugar, palm oil, glucose syrup, partially inverted sugar syrup, salt, baking powder (sodium carbonates, ammonium carbonates), acidity corrector (citric acid)</t>
  </si>
  <si>
    <t>https://world.openfoodfacts.org/product/7622201133337</t>
  </si>
  <si>
    <t>Nutritional Yeast Flakes</t>
  </si>
  <si>
    <t>Dried inactive yeast (99%), Thiamine (B1), Riboflavin (B2), Niacin (B3), Pantothenic acid (B5), Pyridoxine (B6), Biotin (B7), Folic acid (B9) Cyanocobalamin (B12), Zinc sulfate.</t>
  </si>
  <si>
    <t>celery, milk, mustard, soybeans, sulphur-dioxide-and-sulphites</t>
  </si>
  <si>
    <t>https://world.openfoodfacts.org/product/5016084000374</t>
  </si>
  <si>
    <t>Sojasauce</t>
  </si>
  <si>
    <t>water,  soybeans ,  wheat , salt,</t>
  </si>
  <si>
    <t>https://world.openfoodfacts.org/product/8715035110106</t>
  </si>
  <si>
    <t>Krit krititas</t>
  </si>
  <si>
    <t>_Wheat_ flour, vegetable oils (palm, high oleic sunflower), sugar, glucose-fructose syrup, _barley_ malt extract, salt, raising agents (ammonium and sodium carbonates), acidity regulator (calcium phosphate), yeast, flour treatment agent (sodium _metabisulphite_).</t>
  </si>
  <si>
    <t>gluten, sulphur-dioxide-and-sulphites</t>
  </si>
  <si>
    <t>https://world.openfoodfacts.org/product/8434165466333</t>
  </si>
  <si>
    <t>Sour Cream &amp; Onion</t>
  </si>
  <si>
    <t>Dehydrated potatoes, vegetable oils (sunflower, palm, corn) in varying proportions, wheat flour, corn flour, rice flour, sour cream &amp; onion seasoning (onion powder, wheat starch, maltodextrin, flavour enhancers {monosodium glutamate, disodium guanylate, disodium inosinate), dextrose, sunflower oil, salt, flavourings (milk), sugar, sour cream powder (milk), modified maize starch, sweet whey powder (milk), glucose syrup, acids (citric acid, lactic acid, malic acid), milk proteins), maltodextrin, emulsifier (E471), salt, colour (annatto norbixin).</t>
  </si>
  <si>
    <t>https://world.openfoodfacts.org/product/5053990155354</t>
  </si>
  <si>
    <t>SPAGHETTI N° 5</t>
  </si>
  <si>
    <t>DURUM WHEAT SEMOLINA PASTA. May contain traces of soy and mustard.</t>
  </si>
  <si>
    <t>https://world.openfoodfacts.org/product/8076800195057</t>
  </si>
  <si>
    <t>Lait D’Amande</t>
  </si>
  <si>
    <t>almond milk (water, almonds 2.8%), rice starch, natural almond flavour, sea salt, stabilisers: guar gum, xanthan gum</t>
  </si>
  <si>
    <t>https://world.openfoodfacts.org/product/3229820787015</t>
  </si>
  <si>
    <t>Oats &amp; Honey</t>
  </si>
  <si>
    <t>whole oats (59%), sugar, sunflower oil, honey (3%), salt, molasses, emulsifier: sunflower lecithin, baking powder: sodium bicarbonate,</t>
  </si>
  <si>
    <t>https://world.openfoodfacts.org/product/8410076601131</t>
  </si>
  <si>
    <t>kefir drink original</t>
  </si>
  <si>
    <t>Pasteurised Cow’s Milk fermented with Live Kefir Cultures*. Bifidobacterium, Lactobacillus acidophilus, Lactobacillus plantarum, Lactobacillus casei, Lactobacillus rhamnosus</t>
  </si>
  <si>
    <t>https://world.openfoodfacts.org/product/5060337220415</t>
  </si>
  <si>
    <t>No. 6 Sourdough Majestic Malted</t>
  </si>
  <si>
    <t>_Wheat_ Flour (_Wheat_ Flour, Calcium Carbonate, Iron, Niacin, Thiamin), Water, Roasted Malted _Rye_ (7%), _Rye_ Flour, Malted _Barley_ Flour (1%), Salt, Fermented _Wheat_ Flour, Malted _Wheat_ Flour.</t>
  </si>
  <si>
    <t>https://world.openfoodfacts.org/product/5025125000105</t>
  </si>
  <si>
    <t>Gerblé - Milk Chocolate Cookie, 230g (8.2oz)</t>
  </si>
  <si>
    <t>wheat flour 53,2%, red cane sugar, rapeseed oil, chocolate chips 8,3% (cocoa paste, sugar, cocoa butter, emulsifier: soy lecithins), wheat germ 5,5%, lupin flour, fermented milk skimmed powder 2,6%, baking powders (potassium tartrates, sodium carbonates, ammonium carbonates), oat fibre, calcium, magnesium, natural flavour, sea salt, emulsifier: lecithins , wheat starch, vitamins (e, b6, b9),</t>
  </si>
  <si>
    <t>https://world.openfoodfacts.org/product/3175680011534</t>
  </si>
  <si>
    <t>Nature de coco</t>
  </si>
  <si>
    <t>_Soya_ base (Water, Hulled _soya_ beans (10.4%)), Coconut milk (4.3%) (Coconut cream, Water), Sugar, Calcium (Tri-calciumcitrate), Acidity regulators (Sodium citrates, Citric acid), Stabiliser (Pectins), Natural flavouring, Sea salt, Antioxidants (Tocopherol-rich extract, Fatty acid esters of ascorbic acid), Vitamins (B12, D2), Yogurt cultures (S. thermophilus, L. bulgaricus).</t>
  </si>
  <si>
    <t>soybeans, de:Sojabasis</t>
  </si>
  <si>
    <t>https://world.openfoodfacts.org/product/5411188119098</t>
  </si>
  <si>
    <t>Toffifee 15er</t>
  </si>
  <si>
    <t>sugar, vegetable fats (palm, shea), hazelnuts, glucose syrup, skimmed milk powder, humectant sorbitol syrup, cocoa mass, condensed skimmed milk, condensed sweet whey, lactose, skimmed cocoa, cocoa butter, clarified butter, cane sugar syrup, whey product, emulsifier lecithins (soy), salt, flavourings, may also contain almond, peanut and other nuts,</t>
  </si>
  <si>
    <t>milk, nuts, peanuts, soybeans, Butter fat, Condensed whey, Skimmed milk, Skimmed milk powder, Whey powder</t>
  </si>
  <si>
    <t>https://world.openfoodfacts.org/product/4014400400007</t>
  </si>
  <si>
    <t>Oat</t>
  </si>
  <si>
    <t>oat  base (96,6%) (water,  oat  (9,8%)), soluble corn fibre, sunflower oil, calcium (tri-calcium phosphate), sea salt, stabiliser (gellan gum), vitamins b2, b12, d2,</t>
  </si>
  <si>
    <t>https://world.openfoodfacts.org/product/5411188115366</t>
  </si>
  <si>
    <t>Dark Rye Sourdough</t>
  </si>
  <si>
    <t>wheat flour (wheat flour, calcium carbonate, iron, niacin, thiamin), rye flour, water, wheat gluten, molasses, salt, malted barley flour,</t>
  </si>
  <si>
    <t>https://world.openfoodfacts.org/product/4088600327587</t>
  </si>
  <si>
    <t>Gerblé - Sugar Free Cocoa Chip Cookie, 130g (4.6oz)</t>
  </si>
  <si>
    <t>wheat flour , sweetener: maltitol,canola oil, chocolate chip malitol 11% (sweetener: maltitol, cocoa paste, emulsifier: soya lecithin , lean cocoa powder, natural flavour of vanilla), fiber of wheat , lean cocoa powder 4%, its d' oats , sea salt, emulsifier: sunflower lecithin, natural flavor, baking powders (ammonium carbonate, carbonate sodium acid), sweetener: sucralose,</t>
  </si>
  <si>
    <t>https://world.openfoodfacts.org/product/3175681105423</t>
  </si>
  <si>
    <t>Organic Natural Yoghurt</t>
  </si>
  <si>
    <t>Organic Milk, bifidobacterium live culture</t>
  </si>
  <si>
    <t>https://world.openfoodfacts.org/product/5036589255598</t>
  </si>
  <si>
    <t>Corn Flakes</t>
  </si>
  <si>
    <t>corn, sugar, aroma of malt of barley, salt, vitamins and minerals : vitamin b3/pp, vitamin b6, vitamin b2, vitamin b1, vitamin b9, vitamin d, vitamin b12, iron,</t>
  </si>
  <si>
    <t>https://world.openfoodfacts.org/product/3159470000120</t>
  </si>
  <si>
    <t>Dark milk chocolate</t>
  </si>
  <si>
    <t>Dried Whole _Milk_, Cocoa Mass, Cocoa Butter, Sugar.</t>
  </si>
  <si>
    <t>https://world.openfoodfacts.org/product/5059697710001</t>
  </si>
  <si>
    <t>MULTISEED WHOLEMEAL FARMHOUSE LOAF</t>
  </si>
  <si>
    <t>Wholemeal Wheat Flour, Water, Mixed Seeds (14%) (Sunflower Seeds, Brown Linseed, Millet, Poppy Seeds), Wheat Gluten, Sugar, Yeast, Fermented Wheat Flour, Salt, Soya Flour, Rapeseed Oil, Spirit Vinegar, Malted Barley Flour, Malted Wheat Flour, Rye Flour, Palm Oil, Flour Treatment Agent: Ascorbic Acid.</t>
  </si>
  <si>
    <t>https://world.openfoodfacts.org/product/01318180</t>
  </si>
  <si>
    <t>Gerble - Soy Orange Cookie, 280g (9.9oz)</t>
  </si>
  <si>
    <t>wheat flour 57,8%, red cane sugar, rapeseed oil, soy flakes 7%, wheat germ 5,3%, dehydrated oranges 1,5%, magnesium, emulsifier: rapeseed lecithins, sugar, calcium, starch, oat fibre, sea salt, uptake powders (citric acid, sodium carbonates, ammonium carbonates), natural orange flavour, milk proteins, wheat starch, vitamins b1, b5, b6, b9, pp, e (lactose , milk proteins), made in a workshop that uses nuts,     lupin , sesame and eggs,</t>
  </si>
  <si>
    <t>https://world.openfoodfacts.org/product/3175680011442</t>
  </si>
  <si>
    <t>Digestive Biscuits</t>
  </si>
  <si>
    <t>flour (55%) (wheat flour, calcium, iron, niacin, thiamine), palm oil, whole wheat flour (16%), sugar, baking powders (sodium carbonates, malic acid, ammonium carbonates), inverted sugar syrup, salt. may also contain milk.</t>
  </si>
  <si>
    <t>https://world.openfoodfacts.org/product/5000168198491</t>
  </si>
  <si>
    <t>Haferdrink Barista</t>
  </si>
  <si>
    <t>Energy, sugar, fat, of which saturated fatty acids, carbohydrates, of which sugar, dietary fiber, salt, protein, vitamin D, riboflavin, vitamin B12, calcium, iodine.</t>
  </si>
  <si>
    <t>https://world.openfoodfacts.org/product/7394376616501</t>
  </si>
  <si>
    <t>Smooth Dark Chocolate</t>
  </si>
  <si>
    <t>cocoa paste, cocoa butter, sugar, lean cocoa, anhydrous milk fat, may contain hazelnuts, almonds, other nuts, milk and soy,</t>
  </si>
  <si>
    <t>https://world.openfoodfacts.org/product/3046920010047</t>
  </si>
  <si>
    <t>Pâte à tartiner</t>
  </si>
  <si>
    <t>sugar, sunflower oil, hazelnuts (13%), lean cocoa powder (7%), skimmed milk powder, whey (from milk) powder, lactose (from milk), cocoa butter, emulsifier (sunflower lecithin), natural vanilla flavour,</t>
  </si>
  <si>
    <t>https://world.openfoodfacts.org/product/3664346312936</t>
  </si>
  <si>
    <t>Tomato Ketchup BIO</t>
  </si>
  <si>
    <t>tomatoes (180 g per 100 g of ketchup), sugar, vinegar, salt, spices (contain celery), onion powder, garlic powder,</t>
  </si>
  <si>
    <t>https://world.openfoodfacts.org/product/8715700407760</t>
  </si>
  <si>
    <t>Pain grillé de campagne à la farine complète de blé</t>
  </si>
  <si>
    <t>wheat flour 87.9%, whole wheat flour 13.3%, yeast, palm oil, glucose-fructose syrup, salt, malted wheat flour, flour processing agent (ascorbic acid), acidifying (lactic acid), rye flour, wheat ferments,</t>
  </si>
  <si>
    <t>https://world.openfoodfacts.org/product/3017760542890</t>
  </si>
  <si>
    <t>Le Goût Primeur</t>
  </si>
  <si>
    <t>pasteurized milk and cream (origin: france), milk protein, salt, made in a workshop using nuts and goat's milk</t>
  </si>
  <si>
    <t>https://world.openfoodfacts.org/product/3272770098090</t>
  </si>
  <si>
    <t>Star moutarde</t>
  </si>
  <si>
    <t>water, mustard seeds, table vinegar, salt, soybean oil, stabilizers (e412, eă15), preservative e224 and antioxidant e330</t>
  </si>
  <si>
    <t>mustard</t>
  </si>
  <si>
    <t>https://world.openfoodfacts.org/product/6111184004716</t>
  </si>
  <si>
    <t>Organic Piadina 4 Wholeblend Flatbreads with Extra Virgin Olive Oil</t>
  </si>
  <si>
    <t>Wholemeal Wheat Flour (35%)*, Wheat Flour*, Water, Extra Virgin Olive Oil (8%)*, Salt.</t>
  </si>
  <si>
    <t>https://world.openfoodfacts.org/product/5060198641251</t>
  </si>
  <si>
    <t>Fourr�s chocolat lait</t>
  </si>
  <si>
    <t>_wheat_ flour* 39%, milk chocolate* 25% (unrefined cane sugar*, cocoa butter*, whole _milk_* powder, cocoa paste*), unrefined brown cane sugar*, whole _wheat_ flour* 15%, oleic sunflower oil*, natural vanilla flavour, skimmed _milk_* powder, unrefined sea salt, baking powders: ammonium carbonates,  sodium carbonates, thickener: acacia gum*, antioxidant: rosemary extract*,  * organic ingredients</t>
  </si>
  <si>
    <t>gluten, milk, mustard, sesame-seeds</t>
  </si>
  <si>
    <t>https://world.openfoodfacts.org/product/3229820181950</t>
  </si>
  <si>
    <t>Pringles</t>
  </si>
  <si>
    <t>Dehydrated potatoes, Sunflower oil, Wheat flour, Corn flour, Rice flour, Maltodextrin, Emulsifier (E471), Salt, Colour (Annatto norbixin).</t>
  </si>
  <si>
    <t>https://world.openfoodfacts.org/product/5053990107339</t>
  </si>
  <si>
    <t>Digestive Oats Choc</t>
  </si>
  <si>
    <t>oat flakes 34%, whole wheat flour 22%, dark chocolate drops 15% (sugar, cocoa paste, dextrose, cocoa butter, emulsifier (soy lecithin), flavourings), vegetable oil (high oleic sunflower) 14,5%, sugar, glucose and fructose syrup, raising agents (sodium acid carbonate, ammonium acid carbonate), salt,</t>
  </si>
  <si>
    <t>gluten, soybeans, es:Avena</t>
  </si>
  <si>
    <t>https://world.openfoodfacts.org/product/8410376026962</t>
  </si>
  <si>
    <t>NESQUIK Moins de Sucres</t>
  </si>
  <si>
    <t>low-fat cocoa powder (28%), soluble corn fibre, sugars, oat flour**, emulsifier (soy lecithin), natural flavours, vitamins (c, d), cinnamon, **gluten free,</t>
  </si>
  <si>
    <t>https://world.openfoodfacts.org/product/7613035530799</t>
  </si>
  <si>
    <t>Dan up</t>
  </si>
  <si>
    <t>milk without whipped cream, milk powder without whipped cream, milky proteins, whipped cream, butter, coagulant (starch), flavor, yeast for yogurt,</t>
  </si>
  <si>
    <t>https://world.openfoodfacts.org/product/6111032004455</t>
  </si>
  <si>
    <t>Authentic Greek Yogurt</t>
  </si>
  <si>
    <t>greek yogurt</t>
  </si>
  <si>
    <t>https://world.openfoodfacts.org/product/4088600060880</t>
  </si>
  <si>
    <t>Roasted _Peanuts_ (100%).</t>
  </si>
  <si>
    <t>https://world.openfoodfacts.org/product/5014213711290</t>
  </si>
  <si>
    <t>Rapeseed Oil (75%), Free Range Pasteurised Whole Egg (12%), Water, Extra Virgin Olive Oil (5%), Unrefined Raw Cane Sugar, Acid: Acetic Acid, Sea Salt, Mustard</t>
  </si>
  <si>
    <t>https://world.openfoodfacts.org/product/5060092690331</t>
  </si>
  <si>
    <t>Noir - Noisettes Entières</t>
  </si>
  <si>
    <t>sugar, cocoa paste, hazelnuts (24 %), cocoa butter, concentrated butter, emulsifier (soy lecithin ), flavour, skimmed milk powder,</t>
  </si>
  <si>
    <t>https://world.openfoodfacts.org/product/7622210995087</t>
  </si>
  <si>
    <t>simply nutty muesli</t>
  </si>
  <si>
    <t>wholegrain oat flakes,  chopped dates, barley flakes, wholegrain wheat flakes, chopped roasted hazelnuts, whole almonds, chopped brazil nuts, sunflower seeds</t>
  </si>
  <si>
    <t>https://world.openfoodfacts.org/product/5018357012497</t>
  </si>
  <si>
    <t>Le Choco</t>
  </si>
  <si>
    <t>chocolate powder 98% (sugar, cocoa), emulsifier: soy lecithin, natural flavour, cinnamon,</t>
  </si>
  <si>
    <t>https://world.openfoodfacts.org/product/3033710065783</t>
  </si>
  <si>
    <t>HP Sauce Original imp</t>
  </si>
  <si>
    <t>Tomatoes, Malt Vinegar (from _Barley_), Molasses, Glucose-Fructose Syrup, Spirit vinegar, Sugar, Dates, Modified Cornflour, _Rye_ Flour, Salt, Spices, Flavourings, Tamarind</t>
  </si>
  <si>
    <t>https://world.openfoodfacts.org/product/5000111046244</t>
  </si>
  <si>
    <t>PAIN DE MIE SANS CROÛTE</t>
  </si>
  <si>
    <t>wheat flour 63%, water, sugar, rapeseed oil, salt, vinegar, yeast, flour of beans, wheat gluten, flavor (contains alcohol), extract of acerola, may contain traces of eggs, soya, milk, fruit shell, sesame seeds,</t>
  </si>
  <si>
    <t>https://world.openfoodfacts.org/product/3228857000852</t>
  </si>
  <si>
    <t>Nutella 400g</t>
  </si>
  <si>
    <t>sugar, vegetable fat (palm), hazelnuts (13%), skimmed milk powder (8,7%), fat reduced cocoa powder (7,4%), emulsifier (lecithins (soy/sunflower flavouring (natural identical vanillini,</t>
  </si>
  <si>
    <t>https://world.openfoodfacts.org/product/80135876</t>
  </si>
  <si>
    <t>Oméga 3 Doux Tartine &amp; Cuisson</t>
  </si>
  <si>
    <t>vegetable oils and stearins 52% (colza 30,1%, palm, flax 5,4%, palm), water, emulsifier (soy lecithin), salt, aromas, dye (beta-carotene), vitamin b1,</t>
  </si>
  <si>
    <t>https://world.openfoodfacts.org/product/3366321051686</t>
  </si>
  <si>
    <t>Bitesize shredded wheat</t>
  </si>
  <si>
    <t>Whole Grain Wheat (100%)</t>
  </si>
  <si>
    <t>https://world.openfoodfacts.org/product/7613287194374</t>
  </si>
  <si>
    <t>sugar, palm oil,  hazelnuts  (13%), skimmed  milk  powder (8,7 %), lean cocoa (7,4 %), emulsifier: lecithins ( soya ), vanillin,</t>
  </si>
  <si>
    <t>https://world.openfoodfacts.org/product/8000500082379</t>
  </si>
  <si>
    <t>Anchor spreadable</t>
  </si>
  <si>
    <t>Anchor Butter (50%) (Milk), Rapeseed Oil (29%), Water, Salt (1.1%), Colour (Beta Carotene)</t>
  </si>
  <si>
    <t>https://world.openfoodfacts.org/product/5000246728749</t>
  </si>
  <si>
    <t>Sidi Ali</t>
  </si>
  <si>
    <t>sodium, calcium, magnesium, potassium, bicarbonates, sulfates, chlorides,</t>
  </si>
  <si>
    <t>https://world.openfoodfacts.org/product/6111035002175</t>
  </si>
  <si>
    <t>Eau minérale naturelle</t>
  </si>
  <si>
    <t>100% mineral water</t>
  </si>
  <si>
    <t>https://world.openfoodfacts.org/product/6111035000058</t>
  </si>
  <si>
    <t>Jben</t>
  </si>
  <si>
    <t>whole fresh milk, cream, stabilizers, starch, carrageenan, salt, lactic ferments fat 21%</t>
  </si>
  <si>
    <t>https://world.openfoodfacts.org/product/6111242106949</t>
  </si>
  <si>
    <t>Margarine de table</t>
  </si>
  <si>
    <t>Filtered vegetable oils, non-hydrogenated ml tayeb individual starch mustahabbat (2471) and (478) soy analgesic (1222) syrian acid (200) citric (2300) antioxidants potassium soria (1202) chocoferrols mixture), mink colored (1600) wafina, au : store in a cool place terr all frans : tents</t>
  </si>
  <si>
    <t>https://world.openfoodfacts.org/product/6111099003897</t>
  </si>
  <si>
    <t>90%</t>
  </si>
  <si>
    <t>cocoa mass, cocoa butter, fat reduced cocoa, sugar, vanilla</t>
  </si>
  <si>
    <t>https://world.openfoodfacts.org/product/3046920029759</t>
  </si>
  <si>
    <t>Oulmes natural carbonated water</t>
  </si>
  <si>
    <t>Natural carbonated water 100%</t>
  </si>
  <si>
    <t>https://world.openfoodfacts.org/product/6111035003035</t>
  </si>
  <si>
    <t>Ain Saiss 33cl</t>
  </si>
  <si>
    <t>calcium : 63,5  magnésium : 35,5  nitratex : 7  sodium 8  chlorures : 19,8  sulfate : 3,8  bicarbonate : 372  potassium : 1</t>
  </si>
  <si>
    <t>https://world.openfoodfacts.org/product/6111128000163</t>
  </si>
  <si>
    <t>Gerblé - Sesame Cookie, 230g (8.2oz)</t>
  </si>
  <si>
    <t>Wheat flour, brown cane sugar, rapeseed oil, toasted sesame 10.6%, wheat germ 5.4%, whole wheat flour 5.4%, natural flavor, magnesium, emulsifier: lecithins, raising agents (potassium tartrates, sodium carbonates, ammonium carbonates), sea salt, wheat starch, vitamins (E, PP, B6, B1, B9).</t>
  </si>
  <si>
    <t>https://world.openfoodfacts.org/product/3175680011480</t>
  </si>
  <si>
    <t>Yaourt nature</t>
  </si>
  <si>
    <t>whole fresh milk, skimmed milk powder, starch, selected lactic ferment</t>
  </si>
  <si>
    <t>https://world.openfoodfacts.org/product/6111242100206</t>
  </si>
  <si>
    <t>coca cola 0,5</t>
  </si>
  <si>
    <t>water, fructose-glucose syrup, carbon dioxide, colorant: e150d, acid: phosphoric acid, natural flavors, caffeine flavoring,</t>
  </si>
  <si>
    <t>https://world.openfoodfacts.org/product/54491472</t>
  </si>
  <si>
    <t>Hhhhh</t>
  </si>
  <si>
    <t>https://world.openfoodfacts.org/product/3268840001008</t>
  </si>
  <si>
    <t>THE GREAT WHITE</t>
  </si>
  <si>
    <t>Wheat Flour (Wheat Flour, Calcium Carbonate, Iron, Niacin, Thiamin), Water, Rye Flour, Salt, Fermented Wheat</t>
  </si>
  <si>
    <t>https://world.openfoodfacts.org/product/5025125000112</t>
  </si>
  <si>
    <t>SLICED WHITE SOURDOUGH BREAD WITH GRAINS &amp; SEEDS</t>
  </si>
  <si>
    <t>Wheat Flour (Wheat Flour, Calcium Carbonate, Iron, Niacin, Thiamin), Water, Mixed Seeds (Golden Linseeds, Sunflower Seeds (6%), Sprouted Spelt (Wheat) Grains (1.5%), Salt, Fermented Wheat Flour.</t>
  </si>
  <si>
    <t>https://world.openfoodfacts.org/product/5025125000037</t>
  </si>
  <si>
    <t>Salim</t>
  </si>
  <si>
    <t>gluten free</t>
  </si>
  <si>
    <t>https://world.openfoodfacts.org/product/6111032000600</t>
  </si>
  <si>
    <t>Coca-Cola Goût Original</t>
  </si>
  <si>
    <t>carbonated water, sugar, coloring, e150d, acidifier, phosphoric acid, natural flavors (plant extracts, caffeine),</t>
  </si>
  <si>
    <t>https://world.openfoodfacts.org/product/5449000214911</t>
  </si>
  <si>
    <t>Organic 70% Dark Chocolate Bar</t>
  </si>
  <si>
    <t>cocoa mass #, cane sugar #, cocoa butter #, vanilla extract #, may contain nuts, milk,</t>
  </si>
  <si>
    <t>https://world.openfoodfacts.org/product/7622210578464</t>
  </si>
  <si>
    <t>jibal jben</t>
  </si>
  <si>
    <t>specialty cheese with cream ingredients: whole milk, cream (40%), starch, stabilizers (e1442 and e1450), salt, milk yeasts, preservative: potassium surate stored at most 6 degrees date of production - expiration date - 30 days consume until: see side of the box</t>
  </si>
  <si>
    <t>https://world.openfoodfacts.org/product/6111246954461</t>
  </si>
  <si>
    <t>Eau</t>
  </si>
  <si>
    <t>natural mineral water</t>
  </si>
  <si>
    <t>https://world.openfoodfacts.org/product/6111251420166</t>
  </si>
  <si>
    <t>Coke Zero</t>
  </si>
  <si>
    <t>carbonated water, colouring (e150d), acidifier (phosphoric acid), sweeteners (aspartame, acesulfame-k), natural flavors, caffeine aroma, acidity regulator (sodium citrates)</t>
  </si>
  <si>
    <t>https://world.openfoodfacts.org/product/5449000214799</t>
  </si>
  <si>
    <t>Lightly Sea Salted</t>
  </si>
  <si>
    <t>Potatoes, sunflower oil, sea salt. May contain Milk.</t>
  </si>
  <si>
    <t>https://world.openfoodfacts.org/product/5060042641000</t>
  </si>
  <si>
    <t>Intense dark chocolate</t>
  </si>
  <si>
    <t>cocoa mass, cocoa butter, fat-reduced cocoa powder, cane sugar, vanilla extract</t>
  </si>
  <si>
    <t>https://world.openfoodfacts.org/product/7622210584724</t>
  </si>
  <si>
    <t>Natural Mineral Water</t>
  </si>
  <si>
    <t>EAU MINÉRALE NATURELLE</t>
  </si>
  <si>
    <t>https://world.openfoodfacts.org/product/3057640257773</t>
  </si>
  <si>
    <t>Excellence 85% Cacao Chocolat Noir Puissant Lindt % Lindt</t>
  </si>
  <si>
    <t>Pâte de cacao, cacao maigre, beurre de cacao, cassonade, vanille bourbon naturelle en gousse.</t>
  </si>
  <si>
    <t>https://world.openfoodfacts.org/product/3046920022606</t>
  </si>
  <si>
    <t>Tartine doux</t>
  </si>
  <si>
    <t>non-hydrogenated vegetable oils 54% (rapeseed from france, coconut, palm, palm kernel, flax), water, emulsifiers (mono and diglycerides of fatty acids, sunflower lecithin), salt, natural flavours, antioxidant (rosemary extract), concentrated lemon juice, colour (beta-carotene), vitamin b1,</t>
  </si>
  <si>
    <t>https://world.openfoodfacts.org/product/3155251205296</t>
  </si>
  <si>
    <t>611251753912</t>
  </si>
  <si>
    <t>PROTEGE Tetra Pak CE QUI EST BON olla المكونات : لب طماطم (160غ لإنتاج 100غ من المنتج) ، زيت عباد الشمس، سكر ، نشا الذرة معدل، ملح، نكهة الخضر. 7% من مواد جافة   Ingrédients: Purée de tomate (160 g pour produire 100 g de produit), huile de tournesol, sucre, amidon de mais modifié, sel, arôme de légumes. 7% de matières sèches.   Ingredientes: Puré de tomate (160 g para elaborar 100 g de producto), aceite de girasol, azúcar, almidón modificado de maíz, sal, aroma de verduras. 7% de materia seca. VALEURS NUTRITIONNELLES (Pour 100 g de produit) القيمة الغذائية (لكل 100غ من المنتج Valeur Energétique</t>
  </si>
  <si>
    <t>https://world.openfoodfacts.org/product/6111251753912</t>
  </si>
  <si>
    <t>Organic Lightly Salted Wholegrain Low Fat Rice Cakes</t>
  </si>
  <si>
    <t>Organic wholegrain _rice_ 99.8%, Sea Salt</t>
  </si>
  <si>
    <t>https://world.openfoodfacts.org/product/5013665100065</t>
  </si>
  <si>
    <t>PE20/12/20 24 E 20/12/2 029</t>
  </si>
  <si>
    <t>100% soluble coffee</t>
  </si>
  <si>
    <t>https://world.openfoodfacts.org/product/6923818812082</t>
  </si>
  <si>
    <t>Yogurt Banana</t>
  </si>
  <si>
    <t>ه   یوغورت عاقد المكونات : حليب بدون قشيدة، مسحوق الحليب بدون قشدة ،سكر، قشدة ، زبدة ،نكهة ،خمائر حليبية ليوغورت . م.د : % 2.80. مصنوع في خط يمكن أن يحتوي على الفستق. رقم الإعتماد الصحی LPL 2.1.13 :ONSSA . الوزن الصافي : 110 غ</t>
  </si>
  <si>
    <t>https://world.openfoodfacts.org/product/6111032001010</t>
  </si>
  <si>
    <t>S. Pellegrino Water</t>
  </si>
  <si>
    <t>carbonated water 100%</t>
  </si>
  <si>
    <t>https://world.openfoodfacts.org/product/8002270014901</t>
  </si>
  <si>
    <t>70% chocolate</t>
  </si>
  <si>
    <t>cocoa mass, sugar, cocoa butter, vanilla,</t>
  </si>
  <si>
    <t>https://world.openfoodfacts.org/product/3046920028004</t>
  </si>
  <si>
    <t>Original Taste</t>
  </si>
  <si>
    <t>Water, fructose - glucose syrup, carbon dioxide, colorant: e150d, acid: phosphoric acid, natural flavorings (including caffeine).</t>
  </si>
  <si>
    <t>https://world.openfoodfacts.org/product/5449000054227</t>
  </si>
  <si>
    <t>La salvetat</t>
  </si>
  <si>
    <t>spring water</t>
  </si>
  <si>
    <t>https://world.openfoodfacts.org/product/3068320123264</t>
  </si>
  <si>
    <t>Dark Rye Crispbread</t>
  </si>
  <si>
    <t>wholegrain rye flour, salt</t>
  </si>
  <si>
    <t>https://world.openfoodfacts.org/product/5010265002911</t>
  </si>
  <si>
    <t>Coke Zero can</t>
  </si>
  <si>
    <t>carbonated water, colour (e150d), acid (phosphoric acid) sweeteners (aspartame, acesulfame-k enzymatically produced steviol glycosides), natural flavourings, caffeine flavouring, acidity regulator (sodium citrates), contains a source of phenylalanine,</t>
  </si>
  <si>
    <t>https://world.openfoodfacts.org/product/5449000131805</t>
  </si>
  <si>
    <t>Coca-Cola Zero Azúcar</t>
  </si>
  <si>
    <t>water, carbonic acid, colouring, e 150 sweeteners: cyclamate, acesulfame k and aspartame, acidifiers: e 338, acidity regulator: sodium citrates, natural flavourings, flavouring caffeine</t>
  </si>
  <si>
    <t>https://world.openfoodfacts.org/product/5449000131836</t>
  </si>
  <si>
    <t>4 Garlic &amp; Herb Kebabs</t>
  </si>
  <si>
    <t>Garlic, herb kebabs, wheat, pea protein, parsley, rosemary, lemon</t>
  </si>
  <si>
    <t>https://world.openfoodfacts.org/product/10596975</t>
  </si>
  <si>
    <t>Extra Fine Dark Chocolate</t>
  </si>
  <si>
    <t>Cocoa mass, low fat cocoa powder, cocoa butter, demerara sugar, vanilla.</t>
  </si>
  <si>
    <t>https://world.openfoodfacts.org/product/3046920028363</t>
  </si>
  <si>
    <t>Dalaa 550 feuilles</t>
  </si>
  <si>
    <t>No Eco 0801 000 010 Dalaa Distribue par ES Rue lbnou Al Moutaz, res. Le Joyau I n1 etage, App. 2-Casablanca Tel  212 522 327 200-Fax  212 522 327 205 Fabrique par: Jeesr Industries Lot Al Baraka Rue Al Watassiyine Zone Industrielle BERRECHID-MAROC (212) 5 22 32 72 00ILG: (212) 5 22 32 72 05:S Tel 12121 5 223 Fax: (212) 5 22 32 72 05 Mouchoirs tres doux Jos 6111245 591063 SLA6 dalaa@novatis-group.com E-mail: dalaa@novatis-group.com</t>
  </si>
  <si>
    <t>https://world.openfoodfacts.org/product/6111245591063</t>
  </si>
  <si>
    <t>Crunchy oats &amp; honey</t>
  </si>
  <si>
    <t>whole grain oat flakes (60%),sugar, refined sunflower oil, honey (3%), salt, cane molasses, emulsifier (sunflower lecithin), gasifier (sodium acid carbonate),</t>
  </si>
  <si>
    <t>https://world.openfoodfacts.org/product/8410076801180</t>
  </si>
  <si>
    <t>Coca-Cola Zero</t>
  </si>
  <si>
    <t>carbonated water, dye: e150d, acidifiers: phosphoric acid, sodium citrate, sweeteners: aspartame, acesulfame-k, natural aromas (vegetable extracts), including caffeine, contains a source of phenylalamine,</t>
  </si>
  <si>
    <t>https://world.openfoodfacts.org/product/5449000133328</t>
  </si>
  <si>
    <t>Coca Cola Original taste</t>
  </si>
  <si>
    <t>carbonated water, sugar, colour (caramel e150), acid (phosphoric acid), natural flavourings (including caffeine)</t>
  </si>
  <si>
    <t>https://world.openfoodfacts.org/product/5449000000439</t>
  </si>
  <si>
    <t>Coca Cola</t>
  </si>
  <si>
    <t>water, sugar, carbonic acid, e150d, e338, natural flavors including caffeine</t>
  </si>
  <si>
    <t>https://world.openfoodfacts.org/product/42105220</t>
  </si>
  <si>
    <t>Kefir Natural Fermented Yogurt</t>
  </si>
  <si>
    <t>Organic MILK, fermented with live kefir cultures</t>
  </si>
  <si>
    <t>https://world.openfoodfacts.org/product/5036589252450</t>
  </si>
  <si>
    <t>BEANZ In a rich tomato sauce</t>
  </si>
  <si>
    <t>Beans (50%), Tomatoes (36%), Water, Sugar, Modified Cornflour, Salt, Spice Extracts , Herb Extract</t>
  </si>
  <si>
    <t>https://world.openfoodfacts.org/product/5000157024671</t>
  </si>
  <si>
    <t>Pulco Lemon</t>
  </si>
  <si>
    <t>water, concentrated juice: lemon 35.5% and orange 4.5% (equivalent to 40% reconstituted juice), lemon pulp 5%, acidifier: citric acid, natural lemon extract.</t>
  </si>
  <si>
    <t>https://world.openfoodfacts.org/product/3225350000501</t>
  </si>
  <si>
    <t>COMBO MIX LIGHTLY SALTED</t>
  </si>
  <si>
    <t>Weizenmehl, Wasser, 3% Kartoffelflocken, Roggenmehl, Salz, Hefe, Säureregulator: Natriumacetate, Weizenmalzmehl, Alkohol. Kann Spuren von Soja, Milch, Senf und Sesam enthalten.</t>
  </si>
  <si>
    <t>https://world.openfoodfacts.org/product/10614594</t>
  </si>
  <si>
    <t>Sirop d'Agave</t>
  </si>
  <si>
    <t>agave syrup 100%</t>
  </si>
  <si>
    <t>https://world.openfoodfacts.org/product/3088543506255</t>
  </si>
  <si>
    <t>Rye &amp; Mixed Seed Sourdough Bread</t>
  </si>
  <si>
    <t>Wheat Flour [Wheat Flour, Calcium Carbonate, Iron, Niacin, Thiamin], Water, Wholemeal Wheat Flour, Malted Wheat Flakes, Rye Flour, Millet Seed (2%), Golden Linseed (2%), Sunflower Seed (2%), Rapeseed Oil, Fermented Wheat Flour, Salt, Poppy Seeds (0.6%), Molasses, Malted Wheat Flour, Flour Treatment Agent (Ascorbic Acid), Rice Flour.</t>
  </si>
  <si>
    <t>https://world.openfoodfacts.org/product/5057967395088</t>
  </si>
  <si>
    <t>Pure Maple Syrup</t>
  </si>
  <si>
    <t>Pur sirop d'érable</t>
  </si>
  <si>
    <t>https://world.openfoodfacts.org/product/3088542500285</t>
  </si>
  <si>
    <t>Seeded Sourdough Bread</t>
  </si>
  <si>
    <t>Wheat Flour (Wheat Flour, Calcium Carbonate, Iron, Niacin, Thiamin), Water, MIXED SEEDS (10%) (Brown Linseed, Millet Seeds, Golden Linseed, Sunflower Seeds, Poppy Seeds, Pumpkin Seeds), Rye Flour, Malted Wheat, Salt, Wheat Bran, Malted Barley Flour,</t>
  </si>
  <si>
    <t>https://world.openfoodfacts.org/product/4088600246291</t>
  </si>
  <si>
    <t>allergensmapped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</si>
</sst>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5">
    <xf numFmtId="0" fontId="0" fillId="0" borderId="0" xfId="0"/>
    <xf numFmtId="3" fontId="2" fillId="0" borderId="1" xfId="0" applyNumberFormat="1" applyFont="1" applyBorder="1" applyAlignment="1">
      <alignment horizontal="left"/>
    </xf>
    <xf numFmtId="3" fontId="0" fillId="0" borderId="0" xfId="0" applyNumberFormat="1" applyAlignment="1">
      <alignment horizontal="left"/>
    </xf>
    <xf numFmtId="3" fontId="1" fillId="0" borderId="1" xfId="0" applyNumberFormat="1" applyFont="1" applyBorder="1" applyAlignment="1">
      <alignment horizontal="center"/>
    </xf>
    <xf numFmtId="0" fontId="0" fillId="0" borderId="0" xfId="0" applyAlignment="1">
      <alignment horizontal="center"/>
    </xf>
  </cellXfs>
  <cellStyles count="1">
    <cellStyle name="Normal" xfId="0" builtinId="0"/>
  </cellStyles>
  <dxfs count="3">
    <dxf>
      <numFmt numFmtId="0" formatCode="General"/>
    </dxf>
    <dxf>
      <alignment horizontal="left"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odDraw" displayName="foodDraw" ref="A1:F201" totalsRowShown="0" headerRowDxfId="2">
  <autoFilter ref="A1:F201" xr:uid="{00000000-0009-0000-0100-000001000000}"/>
  <tableColumns count="6">
    <tableColumn id="1" xr3:uid="{00000000-0010-0000-0000-000001000000}" name="id" dataDxfId="1"/>
    <tableColumn id="2" xr3:uid="{00000000-0010-0000-0000-000002000000}" name="name"/>
    <tableColumn id="3" xr3:uid="{00000000-0010-0000-0000-000003000000}" name="ingredients"/>
    <tableColumn id="4" xr3:uid="{00000000-0010-0000-0000-000004000000}" name="allergensraw"/>
    <tableColumn id="7" xr3:uid="{9525C830-A220-4603-8904-7A67CFF526DB}" name="allergensmapped" dataDxfId="0">
      <calculatedColumnFormula>_xlfn.LET(
    _xlpm.raw, LOWER(D2),
    _xlpm.milk, IF(OR(ISNUMBER(SEARCH("milk",_xlpm.raw)),ISNUMBER(SEARCH("whey",_xlpm.raw)),ISNUMBER(SEARCH("skimmed milk",_xlpm.raw)),ISNUMBER(SEARCH("skimmed milk powder",_xlpm.raw)),ISNUMBER(SEARCH("butter",_xlpm.raw)),ISNUMBER(SEARCH("condensed whey",_xlpm.raw))), "milk, ", ""),
    _xlpm.egg, IF(OR(ISNUMBER(SEARCH("egg",_xlpm.raw)),ISNUMBER(SEARCH("eggs",_xlpm.raw)),ISNUMBER(SEARCH("egg white",_xlpm.raw)),ISNUMBER(SEARCH("egg yolk",_xlpm.raw))), "egg, ", ""),
    _xlpm.peanut, IF(OR(ISNUMBER(SEARCH("peanut",_xlpm.raw)),ISNUMBER(SEARCH("peanuts",_xlpm.raw))), "peanut, ", ""),
    _xlpm.treenut, IF(OR(ISNUMBER(SEARCH("nut",_xlpm.raw)),ISNUMBER(SEARCH("almond",_xlpm.raw)),ISNUMBER(SEARCH("hazelnut",_xlpm.raw)),ISNUMBER(SEARCH("cashew",_xlpm.raw)),ISNUMBER(SEARCH("walnut",_xlpm.raw)),ISNUMBER(SEARCH("pistachio",_xlpm.raw))), "tree nut, ", ""),
    _xlpm.wheat, IF(OR(ISNUMBER(SEARCH("gluten",_xlpm.raw)),ISNUMBER(SEARCH("wheat",_xlpm.raw)),ISNUMBER(SEARCH("flour",_xlpm.raw))), "wheat, ", ""),
    _xlpm.soy, IF(OR(ISNUMBER(SEARCH("soy",_xlpm.raw)),ISNUMBER(SEARCH("soya",_xlpm.raw)),ISNUMBER(SEARCH("soybeans",_xlpm.raw)),ISNUMBER(SEARCH("soy lecithin",_xlpm.raw))), "soy, ", ""),
    _xlpm.fish, IF(OR(ISNUMBER(SEARCH("fish",_xlpm.raw)),ISNUMBER(SEARCH("salmon",_xlpm.raw)),ISNUMBER(SEARCH("tuna",_xlpm.raw)),ISNUMBER(SEARCH("cod",_xlpm.raw))), "fish, ", ""),
    _xlpm.shellfish, IF(OR(ISNUMBER(SEARCH("shellfish",_xlpm.raw)),ISNUMBER(SEARCH("shrimp",_xlpm.raw)),ISNUMBER(SEARCH("prawn",_xlpm.raw)),ISNUMBER(SEARCH("crab",_xlpm.raw)),ISNUMBER(SEARCH("lobster",_xlpm.raw))), "shellfish, ", ""),
    _xlpm.sesame, IF(OR(ISNUMBER(SEARCH("sesame",_xlpm.raw)),ISNUMBER(SEARCH("sesame-seeds",_xlpm.raw))), "sesame, ", ""),
    _xlpm.mapped, _xlpm.milk &amp; _xlpm.egg &amp; _xlpm.peanut &amp; _xlpm.treenut &amp; _xlpm.wheat &amp; _xlpm.soy &amp; _xlpm.fish &amp; _xlpm.shellfish &amp; _xlpm.sesame,
    IF(_xlpm.mapped&lt;&gt;"", LEFT(_xlpm.mapped,LEN(_xlpm.mapped)-2), "")
)</calculatedColumnFormula>
    </tableColumn>
    <tableColumn id="5" xr3:uid="{00000000-0010-0000-0000-000005000000}" name="link"/>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201"/>
  <sheetViews>
    <sheetView tabSelected="1" topLeftCell="C143" zoomScale="70" zoomScaleNormal="70" workbookViewId="0">
      <selection activeCell="E153" sqref="E153"/>
    </sheetView>
  </sheetViews>
  <sheetFormatPr defaultRowHeight="14.4" x14ac:dyDescent="0.3"/>
  <cols>
    <col min="1" max="1" width="42.33203125" style="2" customWidth="1"/>
    <col min="2" max="2" width="54.6640625" bestFit="1" customWidth="1"/>
    <col min="3" max="4" width="80.88671875" bestFit="1" customWidth="1"/>
    <col min="5" max="5" width="80.88671875" customWidth="1"/>
    <col min="6" max="6" width="48.109375" bestFit="1" customWidth="1"/>
  </cols>
  <sheetData>
    <row r="1" spans="1:6" ht="18.75" customHeight="1" x14ac:dyDescent="0.3">
      <c r="A1" s="3" t="s">
        <v>0</v>
      </c>
      <c r="B1" s="4" t="s">
        <v>1</v>
      </c>
      <c r="C1" s="4" t="s">
        <v>2</v>
      </c>
      <c r="D1" s="4" t="s">
        <v>3</v>
      </c>
      <c r="E1" s="4" t="s">
        <v>626</v>
      </c>
      <c r="F1" s="4" t="s">
        <v>4</v>
      </c>
    </row>
    <row r="2" spans="1:6" ht="19.5" customHeight="1" x14ac:dyDescent="0.3">
      <c r="A2" s="1">
        <v>6111242100992</v>
      </c>
      <c r="B2" t="s">
        <v>5</v>
      </c>
      <c r="C2" t="s">
        <v>6</v>
      </c>
      <c r="D2" t="s">
        <v>7</v>
      </c>
      <c r="E2" t="str">
        <f t="shared" ref="E2:E33" si="0">_xlfn.LET(
    _xlpm.raw, LOWER(D2),
    _xlpm.milk, IF(OR(ISNUMBER(SEARCH("milk",_xlpm.raw)),ISNUMBER(SEARCH("whey",_xlpm.raw)),ISNUMBER(SEARCH("skimmed milk",_xlpm.raw)),ISNUMBER(SEARCH("skimmed milk powder",_xlpm.raw)),ISNUMBER(SEARCH("butter",_xlpm.raw)),ISNUMBER(SEARCH("condensed whey",_xlpm.raw))), "milk, ", ""),
    _xlpm.egg, IF(OR(ISNUMBER(SEARCH("egg",_xlpm.raw)),ISNUMBER(SEARCH("eggs",_xlpm.raw)),ISNUMBER(SEARCH("egg white",_xlpm.raw)),ISNUMBER(SEARCH("egg yolk",_xlpm.raw))), "egg, ", ""),
    _xlpm.peanut, IF(OR(ISNUMBER(SEARCH("peanut",_xlpm.raw)),ISNUMBER(SEARCH("peanuts",_xlpm.raw))), "peanut, ", ""),
    _xlpm.treenut, IF(OR(ISNUMBER(SEARCH("nut",_xlpm.raw)),ISNUMBER(SEARCH("almond",_xlpm.raw)),ISNUMBER(SEARCH("hazelnut",_xlpm.raw)),ISNUMBER(SEARCH("cashew",_xlpm.raw)),ISNUMBER(SEARCH("walnut",_xlpm.raw)),ISNUMBER(SEARCH("pistachio",_xlpm.raw))), "tree nut, ", ""),
    _xlpm.wheat, IF(OR(ISNUMBER(SEARCH("gluten",_xlpm.raw)),ISNUMBER(SEARCH("wheat",_xlpm.raw)),ISNUMBER(SEARCH("flour",_xlpm.raw))), "wheat, ", ""),
    _xlpm.soy, IF(OR(ISNUMBER(SEARCH("soy",_xlpm.raw)),ISNUMBER(SEARCH("soya",_xlpm.raw)),ISNUMBER(SEARCH("soybeans",_xlpm.raw)),ISNUMBER(SEARCH("soy lecithin",_xlpm.raw))), "soy, ", ""),
    _xlpm.fish, IF(OR(ISNUMBER(SEARCH("fish",_xlpm.raw)),ISNUMBER(SEARCH("salmon",_xlpm.raw)),ISNUMBER(SEARCH("tuna",_xlpm.raw)),ISNUMBER(SEARCH("cod",_xlpm.raw))), "fish, ", ""),
    _xlpm.shellfish, IF(OR(ISNUMBER(SEARCH("shellfish",_xlpm.raw)),ISNUMBER(SEARCH("shrimp",_xlpm.raw)),ISNUMBER(SEARCH("prawn",_xlpm.raw)),ISNUMBER(SEARCH("crab",_xlpm.raw)),ISNUMBER(SEARCH("lobster",_xlpm.raw))), "shellfish, ", ""),
    _xlpm.sesame, IF(OR(ISNUMBER(SEARCH("sesame",_xlpm.raw)),ISNUMBER(SEARCH("sesame-seeds",_xlpm.raw))), "sesame, ", ""),
    _xlpm.mapped, _xlpm.milk &amp; _xlpm.egg &amp; _xlpm.peanut &amp; _xlpm.treenut &amp; _xlpm.wheat &amp; _xlpm.soy &amp; _xlpm.fish &amp; _xlpm.shellfish &amp; _xlpm.sesame,
    IF(_xlpm.mapped&lt;&gt;"", LEFT(_xlpm.mapped,LEN(_xlpm.mapped)-2), "")
)</f>
        <v>milk</v>
      </c>
      <c r="F2" t="s">
        <v>8</v>
      </c>
    </row>
    <row r="3" spans="1:6" ht="19.5" customHeight="1" x14ac:dyDescent="0.3">
      <c r="A3" s="1">
        <v>6111266962187</v>
      </c>
      <c r="B3" t="s">
        <v>9</v>
      </c>
      <c r="C3" t="s">
        <v>10</v>
      </c>
      <c r="D3" t="s">
        <v>11</v>
      </c>
      <c r="E3" t="str">
        <f t="shared" si="0"/>
        <v>milk</v>
      </c>
      <c r="F3" t="s">
        <v>12</v>
      </c>
    </row>
    <row r="4" spans="1:6" ht="19.5" customHeight="1" x14ac:dyDescent="0.3">
      <c r="A4" s="1">
        <v>6111242101180</v>
      </c>
      <c r="B4" t="s">
        <v>13</v>
      </c>
      <c r="C4" t="s">
        <v>14</v>
      </c>
      <c r="D4" t="s">
        <v>11</v>
      </c>
      <c r="E4" t="str">
        <f t="shared" si="0"/>
        <v>milk</v>
      </c>
      <c r="F4" t="s">
        <v>15</v>
      </c>
    </row>
    <row r="5" spans="1:6" ht="19.5" customHeight="1" x14ac:dyDescent="0.3">
      <c r="A5" s="1">
        <v>50184453</v>
      </c>
      <c r="B5" t="s">
        <v>16</v>
      </c>
      <c r="C5" t="s">
        <v>17</v>
      </c>
      <c r="D5" t="s">
        <v>18</v>
      </c>
      <c r="E5" t="str">
        <f t="shared" si="0"/>
        <v>wheat</v>
      </c>
      <c r="F5" t="s">
        <v>19</v>
      </c>
    </row>
    <row r="6" spans="1:6" ht="19.5" customHeight="1" x14ac:dyDescent="0.3">
      <c r="A6" s="1">
        <v>7622210449283</v>
      </c>
      <c r="B6" t="s">
        <v>20</v>
      </c>
      <c r="C6" t="s">
        <v>21</v>
      </c>
      <c r="D6" t="s">
        <v>22</v>
      </c>
      <c r="E6" t="str">
        <f t="shared" si="0"/>
        <v>milk, egg, wheat, soy</v>
      </c>
      <c r="F6" t="s">
        <v>23</v>
      </c>
    </row>
    <row r="7" spans="1:6" ht="19.5" customHeight="1" x14ac:dyDescent="0.3">
      <c r="A7" s="1">
        <v>3017620425035</v>
      </c>
      <c r="B7" t="s">
        <v>24</v>
      </c>
      <c r="C7" t="s">
        <v>25</v>
      </c>
      <c r="D7" t="s">
        <v>26</v>
      </c>
      <c r="E7" t="str">
        <f t="shared" si="0"/>
        <v>milk, tree nut, soy</v>
      </c>
      <c r="F7" t="s">
        <v>27</v>
      </c>
    </row>
    <row r="8" spans="1:6" ht="19.5" customHeight="1" x14ac:dyDescent="0.3">
      <c r="A8" s="1">
        <v>5025125000006</v>
      </c>
      <c r="B8" t="s">
        <v>28</v>
      </c>
      <c r="C8" t="s">
        <v>29</v>
      </c>
      <c r="D8" t="s">
        <v>30</v>
      </c>
      <c r="E8" t="str">
        <f t="shared" si="0"/>
        <v>wheat</v>
      </c>
      <c r="F8" t="s">
        <v>31</v>
      </c>
    </row>
    <row r="9" spans="1:6" ht="19.5" customHeight="1" x14ac:dyDescent="0.3">
      <c r="A9" s="1">
        <v>20995553</v>
      </c>
      <c r="B9" t="s">
        <v>32</v>
      </c>
      <c r="C9" t="s">
        <v>33</v>
      </c>
      <c r="D9" t="s">
        <v>34</v>
      </c>
      <c r="E9" t="str">
        <f t="shared" si="0"/>
        <v>soy</v>
      </c>
      <c r="F9" t="s">
        <v>35</v>
      </c>
    </row>
    <row r="10" spans="1:6" ht="19.5" customHeight="1" x14ac:dyDescent="0.3">
      <c r="A10" s="1">
        <v>3017620422003</v>
      </c>
      <c r="B10" t="s">
        <v>24</v>
      </c>
      <c r="C10" t="s">
        <v>36</v>
      </c>
      <c r="D10" t="s">
        <v>26</v>
      </c>
      <c r="E10" t="str">
        <f t="shared" si="0"/>
        <v>milk, tree nut, soy</v>
      </c>
      <c r="F10" t="s">
        <v>37</v>
      </c>
    </row>
    <row r="11" spans="1:6" ht="19.5" customHeight="1" x14ac:dyDescent="0.3">
      <c r="A11" s="1">
        <v>20724696</v>
      </c>
      <c r="B11" t="s">
        <v>38</v>
      </c>
      <c r="C11" t="s">
        <v>39</v>
      </c>
      <c r="D11" t="s">
        <v>40</v>
      </c>
      <c r="E11" t="str">
        <f t="shared" si="0"/>
        <v>tree nut</v>
      </c>
      <c r="F11" t="s">
        <v>41</v>
      </c>
    </row>
    <row r="12" spans="1:6" ht="19.5" customHeight="1" x14ac:dyDescent="0.3">
      <c r="A12" s="1">
        <v>20267605</v>
      </c>
      <c r="B12" t="s">
        <v>42</v>
      </c>
      <c r="C12" t="s">
        <v>43</v>
      </c>
      <c r="D12" t="s">
        <v>40</v>
      </c>
      <c r="E12" t="str">
        <f t="shared" si="0"/>
        <v>tree nut</v>
      </c>
      <c r="F12" t="s">
        <v>44</v>
      </c>
    </row>
    <row r="13" spans="1:6" ht="19.5" customHeight="1" x14ac:dyDescent="0.3">
      <c r="A13" s="1">
        <v>80177173</v>
      </c>
      <c r="B13" t="s">
        <v>24</v>
      </c>
      <c r="C13" t="s">
        <v>45</v>
      </c>
      <c r="D13" t="s">
        <v>26</v>
      </c>
      <c r="E13" t="str">
        <f t="shared" si="0"/>
        <v>milk, tree nut, soy</v>
      </c>
      <c r="F13" t="s">
        <v>46</v>
      </c>
    </row>
    <row r="14" spans="1:6" ht="19.5" customHeight="1" x14ac:dyDescent="0.3">
      <c r="A14" s="1">
        <v>6111242100305</v>
      </c>
      <c r="B14" t="s">
        <v>47</v>
      </c>
      <c r="C14" t="s">
        <v>48</v>
      </c>
      <c r="D14" t="s">
        <v>11</v>
      </c>
      <c r="E14" t="str">
        <f t="shared" si="0"/>
        <v>milk</v>
      </c>
      <c r="F14" t="s">
        <v>49</v>
      </c>
    </row>
    <row r="15" spans="1:6" ht="19.5" customHeight="1" x14ac:dyDescent="0.3">
      <c r="A15" s="1">
        <v>80135463</v>
      </c>
      <c r="B15" t="s">
        <v>24</v>
      </c>
      <c r="C15" t="s">
        <v>50</v>
      </c>
      <c r="D15" t="s">
        <v>26</v>
      </c>
      <c r="E15" t="str">
        <f t="shared" si="0"/>
        <v>milk, tree nut, soy</v>
      </c>
      <c r="F15" t="s">
        <v>51</v>
      </c>
    </row>
    <row r="16" spans="1:6" ht="19.5" customHeight="1" x14ac:dyDescent="0.3">
      <c r="A16" s="1">
        <v>5740900404465</v>
      </c>
      <c r="B16" t="s">
        <v>52</v>
      </c>
      <c r="C16" t="s">
        <v>53</v>
      </c>
      <c r="D16" t="s">
        <v>11</v>
      </c>
      <c r="E16" t="str">
        <f t="shared" si="0"/>
        <v>milk</v>
      </c>
      <c r="F16" t="s">
        <v>54</v>
      </c>
    </row>
    <row r="17" spans="1:6" ht="18.75" customHeight="1" x14ac:dyDescent="0.3">
      <c r="A17" s="1">
        <v>5411188112709</v>
      </c>
      <c r="B17" t="s">
        <v>55</v>
      </c>
      <c r="C17" t="s">
        <v>56</v>
      </c>
      <c r="D17" t="s">
        <v>40</v>
      </c>
      <c r="E17" t="str">
        <f t="shared" si="0"/>
        <v>tree nut</v>
      </c>
      <c r="F17" t="s">
        <v>57</v>
      </c>
    </row>
    <row r="18" spans="1:6" ht="18.75" customHeight="1" x14ac:dyDescent="0.3">
      <c r="A18" s="1">
        <v>20047238</v>
      </c>
      <c r="B18" t="s">
        <v>58</v>
      </c>
      <c r="C18" t="s">
        <v>59</v>
      </c>
      <c r="D18" t="s">
        <v>40</v>
      </c>
      <c r="E18" t="str">
        <f t="shared" si="0"/>
        <v>tree nut</v>
      </c>
      <c r="F18" t="s">
        <v>60</v>
      </c>
    </row>
    <row r="19" spans="1:6" ht="18.75" customHeight="1" x14ac:dyDescent="0.3">
      <c r="A19" s="1">
        <v>7394376616228</v>
      </c>
      <c r="B19" t="s">
        <v>61</v>
      </c>
      <c r="C19" t="s">
        <v>62</v>
      </c>
      <c r="D19" t="s">
        <v>30</v>
      </c>
      <c r="E19" t="str">
        <f t="shared" si="0"/>
        <v>wheat</v>
      </c>
      <c r="F19" t="s">
        <v>63</v>
      </c>
    </row>
    <row r="20" spans="1:6" ht="18.75" customHeight="1" x14ac:dyDescent="0.3">
      <c r="A20" s="1">
        <v>20005733</v>
      </c>
      <c r="B20" t="s">
        <v>64</v>
      </c>
      <c r="C20" t="s">
        <v>65</v>
      </c>
      <c r="D20" t="s">
        <v>40</v>
      </c>
      <c r="E20" t="str">
        <f t="shared" si="0"/>
        <v>tree nut</v>
      </c>
      <c r="F20" t="s">
        <v>66</v>
      </c>
    </row>
    <row r="21" spans="1:6" ht="18.75" customHeight="1" x14ac:dyDescent="0.3">
      <c r="A21" s="1">
        <v>7300400481595</v>
      </c>
      <c r="B21" t="s">
        <v>67</v>
      </c>
      <c r="C21" t="s">
        <v>68</v>
      </c>
      <c r="D21" t="s">
        <v>30</v>
      </c>
      <c r="E21" t="str">
        <f t="shared" si="0"/>
        <v>wheat</v>
      </c>
      <c r="F21" t="s">
        <v>69</v>
      </c>
    </row>
    <row r="22" spans="1:6" ht="18.75" customHeight="1" x14ac:dyDescent="0.3">
      <c r="A22" s="1">
        <v>8052575090230</v>
      </c>
      <c r="B22" t="s">
        <v>70</v>
      </c>
      <c r="C22" t="s">
        <v>71</v>
      </c>
      <c r="D22" t="s">
        <v>26</v>
      </c>
      <c r="E22" t="str">
        <f t="shared" si="0"/>
        <v>milk, tree nut, soy</v>
      </c>
      <c r="F22" t="s">
        <v>72</v>
      </c>
    </row>
    <row r="23" spans="1:6" ht="18.75" customHeight="1" x14ac:dyDescent="0.3">
      <c r="A23" s="1">
        <v>3608580065340</v>
      </c>
      <c r="B23" t="s">
        <v>73</v>
      </c>
      <c r="C23" t="s">
        <v>74</v>
      </c>
      <c r="D23" t="s">
        <v>75</v>
      </c>
      <c r="E23" t="str">
        <f t="shared" si="0"/>
        <v>milk, tree nut</v>
      </c>
      <c r="F23" t="s">
        <v>76</v>
      </c>
    </row>
    <row r="24" spans="1:6" ht="18.75" customHeight="1" x14ac:dyDescent="0.3">
      <c r="A24" s="1">
        <v>5010029000016</v>
      </c>
      <c r="B24" t="s">
        <v>77</v>
      </c>
      <c r="C24" t="s">
        <v>78</v>
      </c>
      <c r="D24" t="s">
        <v>30</v>
      </c>
      <c r="E24" t="str">
        <f t="shared" si="0"/>
        <v>wheat</v>
      </c>
      <c r="F24" t="s">
        <v>79</v>
      </c>
    </row>
    <row r="25" spans="1:6" ht="18.75" customHeight="1" x14ac:dyDescent="0.3">
      <c r="A25" s="1">
        <v>3229820100234</v>
      </c>
      <c r="B25" t="s">
        <v>80</v>
      </c>
      <c r="C25" t="s">
        <v>81</v>
      </c>
      <c r="D25" t="s">
        <v>82</v>
      </c>
      <c r="E25" t="str">
        <f t="shared" si="0"/>
        <v>milk, wheat, soy</v>
      </c>
      <c r="F25" t="s">
        <v>83</v>
      </c>
    </row>
    <row r="26" spans="1:6" ht="18.75" customHeight="1" x14ac:dyDescent="0.3">
      <c r="A26" s="1">
        <v>20022464</v>
      </c>
      <c r="B26" t="s">
        <v>84</v>
      </c>
      <c r="C26" t="s">
        <v>85</v>
      </c>
      <c r="D26" t="s">
        <v>34</v>
      </c>
      <c r="E26" t="str">
        <f t="shared" si="0"/>
        <v>soy</v>
      </c>
      <c r="F26" t="s">
        <v>86</v>
      </c>
    </row>
    <row r="27" spans="1:6" ht="18.75" customHeight="1" x14ac:dyDescent="0.3">
      <c r="A27" s="1">
        <v>3760020507350</v>
      </c>
      <c r="B27" t="s">
        <v>87</v>
      </c>
      <c r="C27" t="s">
        <v>88</v>
      </c>
      <c r="D27" t="s">
        <v>89</v>
      </c>
      <c r="E27" t="str">
        <f t="shared" si="0"/>
        <v>peanut, tree nut</v>
      </c>
      <c r="F27" t="s">
        <v>90</v>
      </c>
    </row>
    <row r="28" spans="1:6" ht="18.75" customHeight="1" x14ac:dyDescent="0.3">
      <c r="A28" s="1">
        <v>3329770077003</v>
      </c>
      <c r="B28" t="s">
        <v>91</v>
      </c>
      <c r="C28" t="s">
        <v>92</v>
      </c>
      <c r="D28" t="s">
        <v>11</v>
      </c>
      <c r="E28" t="str">
        <f t="shared" si="0"/>
        <v>milk</v>
      </c>
      <c r="F28" t="s">
        <v>93</v>
      </c>
    </row>
    <row r="29" spans="1:6" ht="18.75" customHeight="1" x14ac:dyDescent="0.3">
      <c r="A29" s="1">
        <v>3760049798609</v>
      </c>
      <c r="B29" t="s">
        <v>94</v>
      </c>
      <c r="C29" t="s">
        <v>95</v>
      </c>
      <c r="D29" t="s">
        <v>30</v>
      </c>
      <c r="E29" t="str">
        <f t="shared" si="0"/>
        <v>wheat</v>
      </c>
      <c r="F29" t="s">
        <v>96</v>
      </c>
    </row>
    <row r="30" spans="1:6" ht="18.75" customHeight="1" x14ac:dyDescent="0.3">
      <c r="A30" s="1">
        <v>5025125000129</v>
      </c>
      <c r="B30" t="s">
        <v>97</v>
      </c>
      <c r="C30" t="s">
        <v>98</v>
      </c>
      <c r="D30" t="s">
        <v>30</v>
      </c>
      <c r="E30" t="str">
        <f t="shared" si="0"/>
        <v>wheat</v>
      </c>
      <c r="F30" t="s">
        <v>99</v>
      </c>
    </row>
    <row r="31" spans="1:6" ht="18.75" customHeight="1" x14ac:dyDescent="0.3">
      <c r="A31" s="1">
        <v>7300400481588</v>
      </c>
      <c r="B31" t="s">
        <v>100</v>
      </c>
      <c r="C31" t="s">
        <v>101</v>
      </c>
      <c r="D31" t="s">
        <v>102</v>
      </c>
      <c r="E31" t="str">
        <f t="shared" si="0"/>
        <v>wheat, sesame</v>
      </c>
      <c r="F31" t="s">
        <v>103</v>
      </c>
    </row>
    <row r="32" spans="1:6" ht="18.75" customHeight="1" x14ac:dyDescent="0.3">
      <c r="A32" s="1">
        <v>7311070032611</v>
      </c>
      <c r="B32" t="s">
        <v>104</v>
      </c>
      <c r="C32" t="s">
        <v>105</v>
      </c>
      <c r="D32" t="s">
        <v>30</v>
      </c>
      <c r="E32" t="str">
        <f t="shared" si="0"/>
        <v>wheat</v>
      </c>
      <c r="F32" t="s">
        <v>106</v>
      </c>
    </row>
    <row r="33" spans="1:6" ht="18.75" customHeight="1" x14ac:dyDescent="0.3">
      <c r="A33" s="1">
        <v>8076809513753</v>
      </c>
      <c r="B33" t="s">
        <v>107</v>
      </c>
      <c r="C33" t="s">
        <v>108</v>
      </c>
      <c r="D33" t="s">
        <v>75</v>
      </c>
      <c r="E33" t="str">
        <f t="shared" si="0"/>
        <v>milk, tree nut</v>
      </c>
      <c r="F33" t="s">
        <v>109</v>
      </c>
    </row>
    <row r="34" spans="1:6" ht="18.75" customHeight="1" x14ac:dyDescent="0.3">
      <c r="A34" s="1">
        <v>3168930010265</v>
      </c>
      <c r="B34" t="s">
        <v>110</v>
      </c>
      <c r="C34" t="s">
        <v>111</v>
      </c>
      <c r="D34" t="s">
        <v>112</v>
      </c>
      <c r="E34" t="str">
        <f t="shared" ref="E34:E65" si="1">_xlfn.LET(
    _xlpm.raw, LOWER(D34),
    _xlpm.milk, IF(OR(ISNUMBER(SEARCH("milk",_xlpm.raw)),ISNUMBER(SEARCH("whey",_xlpm.raw)),ISNUMBER(SEARCH("skimmed milk",_xlpm.raw)),ISNUMBER(SEARCH("skimmed milk powder",_xlpm.raw)),ISNUMBER(SEARCH("butter",_xlpm.raw)),ISNUMBER(SEARCH("condensed whey",_xlpm.raw))), "milk, ", ""),
    _xlpm.egg, IF(OR(ISNUMBER(SEARCH("egg",_xlpm.raw)),ISNUMBER(SEARCH("eggs",_xlpm.raw)),ISNUMBER(SEARCH("egg white",_xlpm.raw)),ISNUMBER(SEARCH("egg yolk",_xlpm.raw))), "egg, ", ""),
    _xlpm.peanut, IF(OR(ISNUMBER(SEARCH("peanut",_xlpm.raw)),ISNUMBER(SEARCH("peanuts",_xlpm.raw))), "peanut, ", ""),
    _xlpm.treenut, IF(OR(ISNUMBER(SEARCH("nut",_xlpm.raw)),ISNUMBER(SEARCH("almond",_xlpm.raw)),ISNUMBER(SEARCH("hazelnut",_xlpm.raw)),ISNUMBER(SEARCH("cashew",_xlpm.raw)),ISNUMBER(SEARCH("walnut",_xlpm.raw)),ISNUMBER(SEARCH("pistachio",_xlpm.raw))), "tree nut, ", ""),
    _xlpm.wheat, IF(OR(ISNUMBER(SEARCH("gluten",_xlpm.raw)),ISNUMBER(SEARCH("wheat",_xlpm.raw)),ISNUMBER(SEARCH("flour",_xlpm.raw))), "wheat, ", ""),
    _xlpm.soy, IF(OR(ISNUMBER(SEARCH("soy",_xlpm.raw)),ISNUMBER(SEARCH("soya",_xlpm.raw)),ISNUMBER(SEARCH("soybeans",_xlpm.raw)),ISNUMBER(SEARCH("soy lecithin",_xlpm.raw))), "soy, ", ""),
    _xlpm.fish, IF(OR(ISNUMBER(SEARCH("fish",_xlpm.raw)),ISNUMBER(SEARCH("salmon",_xlpm.raw)),ISNUMBER(SEARCH("tuna",_xlpm.raw)),ISNUMBER(SEARCH("cod",_xlpm.raw))), "fish, ", ""),
    _xlpm.shellfish, IF(OR(ISNUMBER(SEARCH("shellfish",_xlpm.raw)),ISNUMBER(SEARCH("shrimp",_xlpm.raw)),ISNUMBER(SEARCH("prawn",_xlpm.raw)),ISNUMBER(SEARCH("crab",_xlpm.raw)),ISNUMBER(SEARCH("lobster",_xlpm.raw))), "shellfish, ", ""),
    _xlpm.sesame, IF(OR(ISNUMBER(SEARCH("sesame",_xlpm.raw)),ISNUMBER(SEARCH("sesame-seeds",_xlpm.raw))), "sesame, ", ""),
    _xlpm.mapped, _xlpm.milk &amp; _xlpm.egg &amp; _xlpm.peanut &amp; _xlpm.treenut &amp; _xlpm.wheat &amp; _xlpm.soy &amp; _xlpm.fish &amp; _xlpm.shellfish &amp; _xlpm.sesame,
    IF(_xlpm.mapped&lt;&gt;"", LEFT(_xlpm.mapped,LEN(_xlpm.mapped)-2), "")
)</f>
        <v>tree nut, wheat</v>
      </c>
      <c r="F34" t="s">
        <v>113</v>
      </c>
    </row>
    <row r="35" spans="1:6" ht="18.75" customHeight="1" x14ac:dyDescent="0.3">
      <c r="A35" s="1">
        <v>50457236</v>
      </c>
      <c r="B35" t="s">
        <v>114</v>
      </c>
      <c r="C35" t="s">
        <v>115</v>
      </c>
      <c r="D35" t="s">
        <v>116</v>
      </c>
      <c r="E35" t="str">
        <f t="shared" si="1"/>
        <v/>
      </c>
      <c r="F35" t="s">
        <v>117</v>
      </c>
    </row>
    <row r="36" spans="1:6" ht="18.75" customHeight="1" x14ac:dyDescent="0.3">
      <c r="A36" s="1">
        <v>5411188124689</v>
      </c>
      <c r="B36" t="s">
        <v>118</v>
      </c>
      <c r="C36" t="s">
        <v>119</v>
      </c>
      <c r="D36" t="s">
        <v>120</v>
      </c>
      <c r="E36" t="str">
        <f t="shared" si="1"/>
        <v>wheat</v>
      </c>
      <c r="F36" t="s">
        <v>121</v>
      </c>
    </row>
    <row r="37" spans="1:6" ht="18.75" customHeight="1" x14ac:dyDescent="0.3">
      <c r="A37" s="1">
        <v>5410041001204</v>
      </c>
      <c r="B37" t="s">
        <v>122</v>
      </c>
      <c r="C37" t="s">
        <v>123</v>
      </c>
      <c r="D37" t="s">
        <v>124</v>
      </c>
      <c r="E37" t="str">
        <f t="shared" si="1"/>
        <v>egg, wheat</v>
      </c>
      <c r="F37" t="s">
        <v>125</v>
      </c>
    </row>
    <row r="38" spans="1:6" ht="18.75" customHeight="1" x14ac:dyDescent="0.3">
      <c r="A38" s="1">
        <v>3017620429484</v>
      </c>
      <c r="B38" t="s">
        <v>24</v>
      </c>
      <c r="C38" t="s">
        <v>126</v>
      </c>
      <c r="D38" t="s">
        <v>26</v>
      </c>
      <c r="E38" t="str">
        <f t="shared" si="1"/>
        <v>milk, tree nut, soy</v>
      </c>
      <c r="F38" t="s">
        <v>127</v>
      </c>
    </row>
    <row r="39" spans="1:6" ht="18.75" customHeight="1" x14ac:dyDescent="0.3">
      <c r="A39" s="1">
        <v>6111206000733</v>
      </c>
      <c r="B39" t="s">
        <v>128</v>
      </c>
      <c r="C39" t="s">
        <v>129</v>
      </c>
      <c r="D39" t="s">
        <v>11</v>
      </c>
      <c r="E39" t="str">
        <f t="shared" si="1"/>
        <v>milk</v>
      </c>
      <c r="F39" t="s">
        <v>130</v>
      </c>
    </row>
    <row r="40" spans="1:6" ht="18.75" customHeight="1" x14ac:dyDescent="0.3">
      <c r="A40" s="1">
        <v>59032823</v>
      </c>
      <c r="B40" t="s">
        <v>131</v>
      </c>
      <c r="C40" t="s">
        <v>132</v>
      </c>
      <c r="D40" t="s">
        <v>26</v>
      </c>
      <c r="E40" t="str">
        <f t="shared" si="1"/>
        <v>milk, tree nut, soy</v>
      </c>
      <c r="F40" t="s">
        <v>133</v>
      </c>
    </row>
    <row r="41" spans="1:6" ht="18.75" customHeight="1" x14ac:dyDescent="0.3">
      <c r="A41" s="1">
        <v>50160884</v>
      </c>
      <c r="B41" t="s">
        <v>134</v>
      </c>
      <c r="C41" t="s">
        <v>135</v>
      </c>
      <c r="D41" t="s">
        <v>136</v>
      </c>
      <c r="E41" t="str">
        <f t="shared" si="1"/>
        <v>milk, soy</v>
      </c>
      <c r="F41" t="s">
        <v>137</v>
      </c>
    </row>
    <row r="42" spans="1:6" ht="18.75" customHeight="1" x14ac:dyDescent="0.3">
      <c r="A42" s="1">
        <v>4056489148739</v>
      </c>
      <c r="B42" t="s">
        <v>138</v>
      </c>
      <c r="C42" t="s">
        <v>139</v>
      </c>
      <c r="D42" t="s">
        <v>11</v>
      </c>
      <c r="E42" t="str">
        <f t="shared" si="1"/>
        <v>milk</v>
      </c>
      <c r="F42" t="s">
        <v>140</v>
      </c>
    </row>
    <row r="43" spans="1:6" ht="18.75" customHeight="1" x14ac:dyDescent="0.3">
      <c r="A43" s="1">
        <v>3175681851849</v>
      </c>
      <c r="B43" t="s">
        <v>141</v>
      </c>
      <c r="C43" t="s">
        <v>142</v>
      </c>
      <c r="D43" t="s">
        <v>112</v>
      </c>
      <c r="E43" t="str">
        <f t="shared" si="1"/>
        <v>tree nut, wheat</v>
      </c>
      <c r="F43" t="s">
        <v>143</v>
      </c>
    </row>
    <row r="44" spans="1:6" ht="18.75" customHeight="1" x14ac:dyDescent="0.3">
      <c r="A44" s="1">
        <v>3451790988677</v>
      </c>
      <c r="B44" t="s">
        <v>144</v>
      </c>
      <c r="C44" t="s">
        <v>145</v>
      </c>
      <c r="D44" t="s">
        <v>11</v>
      </c>
      <c r="E44" t="str">
        <f t="shared" si="1"/>
        <v>milk</v>
      </c>
      <c r="F44" t="s">
        <v>146</v>
      </c>
    </row>
    <row r="45" spans="1:6" ht="18.75" customHeight="1" x14ac:dyDescent="0.3">
      <c r="A45" s="1">
        <v>5010029000801</v>
      </c>
      <c r="B45" t="s">
        <v>147</v>
      </c>
      <c r="C45" t="s">
        <v>148</v>
      </c>
      <c r="D45" t="s">
        <v>30</v>
      </c>
      <c r="E45" t="str">
        <f t="shared" si="1"/>
        <v>wheat</v>
      </c>
      <c r="F45" t="s">
        <v>149</v>
      </c>
    </row>
    <row r="46" spans="1:6" ht="18.75" customHeight="1" x14ac:dyDescent="0.3">
      <c r="A46" s="1">
        <v>20003166</v>
      </c>
      <c r="B46" t="s">
        <v>150</v>
      </c>
      <c r="C46" t="s">
        <v>151</v>
      </c>
      <c r="D46" t="s">
        <v>30</v>
      </c>
      <c r="E46" t="str">
        <f t="shared" si="1"/>
        <v>wheat</v>
      </c>
      <c r="F46" t="s">
        <v>152</v>
      </c>
    </row>
    <row r="47" spans="1:6" ht="18.75" customHeight="1" x14ac:dyDescent="0.3">
      <c r="A47" s="1">
        <v>5013665112273</v>
      </c>
      <c r="B47" t="s">
        <v>153</v>
      </c>
      <c r="C47" t="s">
        <v>154</v>
      </c>
      <c r="D47" t="s">
        <v>116</v>
      </c>
      <c r="E47" t="str">
        <f t="shared" si="1"/>
        <v/>
      </c>
      <c r="F47" t="s">
        <v>155</v>
      </c>
    </row>
    <row r="48" spans="1:6" ht="18.75" customHeight="1" x14ac:dyDescent="0.3">
      <c r="A48" s="1">
        <v>20095291</v>
      </c>
      <c r="B48" t="s">
        <v>156</v>
      </c>
      <c r="C48" t="s">
        <v>157</v>
      </c>
      <c r="D48" t="s">
        <v>34</v>
      </c>
      <c r="E48" t="str">
        <f t="shared" si="1"/>
        <v>soy</v>
      </c>
      <c r="F48" t="s">
        <v>158</v>
      </c>
    </row>
    <row r="49" spans="1:6" ht="18.75" customHeight="1" x14ac:dyDescent="0.3">
      <c r="A49" s="1">
        <v>5034467000216</v>
      </c>
      <c r="B49" t="s">
        <v>159</v>
      </c>
      <c r="C49" t="s">
        <v>160</v>
      </c>
      <c r="D49" t="s">
        <v>34</v>
      </c>
      <c r="E49" t="str">
        <f t="shared" si="1"/>
        <v>soy</v>
      </c>
      <c r="F49" t="s">
        <v>161</v>
      </c>
    </row>
    <row r="50" spans="1:6" ht="18.75" customHeight="1" x14ac:dyDescent="0.3">
      <c r="A50" s="1">
        <v>80176800</v>
      </c>
      <c r="B50" t="s">
        <v>24</v>
      </c>
      <c r="C50" t="s">
        <v>162</v>
      </c>
      <c r="D50" t="s">
        <v>26</v>
      </c>
      <c r="E50" t="str">
        <f t="shared" si="1"/>
        <v>milk, tree nut, soy</v>
      </c>
      <c r="F50" t="s">
        <v>163</v>
      </c>
    </row>
    <row r="51" spans="1:6" ht="18.75" customHeight="1" x14ac:dyDescent="0.3">
      <c r="A51" s="1">
        <v>3480341000674</v>
      </c>
      <c r="B51" t="s">
        <v>164</v>
      </c>
      <c r="C51" t="s">
        <v>165</v>
      </c>
      <c r="D51" t="s">
        <v>11</v>
      </c>
      <c r="E51" t="str">
        <f t="shared" si="1"/>
        <v>milk</v>
      </c>
      <c r="F51" t="s">
        <v>166</v>
      </c>
    </row>
    <row r="52" spans="1:6" ht="18.75" customHeight="1" x14ac:dyDescent="0.3">
      <c r="A52" s="1">
        <v>87157215</v>
      </c>
      <c r="B52" t="s">
        <v>114</v>
      </c>
      <c r="C52" t="s">
        <v>167</v>
      </c>
      <c r="D52" t="s">
        <v>116</v>
      </c>
      <c r="E52" t="str">
        <f t="shared" si="1"/>
        <v/>
      </c>
      <c r="F52" t="s">
        <v>168</v>
      </c>
    </row>
    <row r="53" spans="1:6" ht="18.75" customHeight="1" x14ac:dyDescent="0.3">
      <c r="A53" s="1">
        <v>4008400401621</v>
      </c>
      <c r="B53" t="s">
        <v>131</v>
      </c>
      <c r="C53" t="s">
        <v>169</v>
      </c>
      <c r="D53" t="s">
        <v>26</v>
      </c>
      <c r="E53" t="str">
        <f t="shared" si="1"/>
        <v>milk, tree nut, soy</v>
      </c>
      <c r="F53" t="s">
        <v>170</v>
      </c>
    </row>
    <row r="54" spans="1:6" ht="18.75" customHeight="1" x14ac:dyDescent="0.3">
      <c r="A54" s="1">
        <v>3251490332080</v>
      </c>
      <c r="B54" t="s">
        <v>171</v>
      </c>
      <c r="C54" t="s">
        <v>172</v>
      </c>
      <c r="D54" t="s">
        <v>30</v>
      </c>
      <c r="E54" t="str">
        <f t="shared" si="1"/>
        <v>wheat</v>
      </c>
      <c r="F54" t="s">
        <v>173</v>
      </c>
    </row>
    <row r="55" spans="1:6" ht="18.75" customHeight="1" x14ac:dyDescent="0.3">
      <c r="A55" s="1">
        <v>20006105</v>
      </c>
      <c r="B55" t="s">
        <v>174</v>
      </c>
      <c r="C55" t="s">
        <v>175</v>
      </c>
      <c r="D55" t="s">
        <v>30</v>
      </c>
      <c r="E55" t="str">
        <f t="shared" si="1"/>
        <v>wheat</v>
      </c>
      <c r="F55" t="s">
        <v>176</v>
      </c>
    </row>
    <row r="56" spans="1:6" ht="18.75" customHeight="1" x14ac:dyDescent="0.3">
      <c r="A56" s="1">
        <v>3760049790214</v>
      </c>
      <c r="B56" t="s">
        <v>177</v>
      </c>
      <c r="C56" t="s">
        <v>178</v>
      </c>
      <c r="D56" t="s">
        <v>30</v>
      </c>
      <c r="E56" t="str">
        <f t="shared" si="1"/>
        <v>wheat</v>
      </c>
      <c r="F56" t="s">
        <v>179</v>
      </c>
    </row>
    <row r="57" spans="1:6" ht="18.75" customHeight="1" x14ac:dyDescent="0.3">
      <c r="A57" s="1">
        <v>3046920028721</v>
      </c>
      <c r="B57" t="s">
        <v>180</v>
      </c>
      <c r="C57" t="s">
        <v>181</v>
      </c>
      <c r="D57" t="s">
        <v>11</v>
      </c>
      <c r="E57" t="str">
        <f t="shared" si="1"/>
        <v>milk</v>
      </c>
      <c r="F57" t="s">
        <v>182</v>
      </c>
    </row>
    <row r="58" spans="1:6" ht="18.75" customHeight="1" x14ac:dyDescent="0.3">
      <c r="A58" s="1">
        <v>5010003064744</v>
      </c>
      <c r="B58" t="s">
        <v>183</v>
      </c>
      <c r="C58" t="s">
        <v>184</v>
      </c>
      <c r="D58" t="s">
        <v>185</v>
      </c>
      <c r="E58" t="str">
        <f t="shared" si="1"/>
        <v>wheat, soy</v>
      </c>
      <c r="F58" t="s">
        <v>186</v>
      </c>
    </row>
    <row r="59" spans="1:6" ht="18.75" customHeight="1" x14ac:dyDescent="0.3">
      <c r="A59" s="1">
        <v>3019081238643</v>
      </c>
      <c r="B59" t="s">
        <v>187</v>
      </c>
      <c r="C59" t="s">
        <v>188</v>
      </c>
      <c r="D59" t="s">
        <v>189</v>
      </c>
      <c r="E59" t="str">
        <f t="shared" si="1"/>
        <v>fish</v>
      </c>
      <c r="F59" t="s">
        <v>190</v>
      </c>
    </row>
    <row r="60" spans="1:6" ht="18.75" customHeight="1" x14ac:dyDescent="0.3">
      <c r="A60" s="1">
        <v>3045140105502</v>
      </c>
      <c r="B60" t="s">
        <v>191</v>
      </c>
      <c r="C60" t="s">
        <v>192</v>
      </c>
      <c r="D60" t="s">
        <v>26</v>
      </c>
      <c r="E60" t="str">
        <f t="shared" si="1"/>
        <v>milk, tree nut, soy</v>
      </c>
      <c r="F60" t="s">
        <v>193</v>
      </c>
    </row>
    <row r="61" spans="1:6" ht="18.75" customHeight="1" x14ac:dyDescent="0.3">
      <c r="A61" s="1">
        <v>50457250</v>
      </c>
      <c r="B61" t="s">
        <v>114</v>
      </c>
      <c r="C61" t="s">
        <v>194</v>
      </c>
      <c r="D61" t="s">
        <v>116</v>
      </c>
      <c r="E61" t="str">
        <f t="shared" si="1"/>
        <v/>
      </c>
      <c r="F61" t="s">
        <v>195</v>
      </c>
    </row>
    <row r="62" spans="1:6" ht="18.75" customHeight="1" x14ac:dyDescent="0.3">
      <c r="A62" s="1">
        <v>5020364010113</v>
      </c>
      <c r="B62" t="s">
        <v>196</v>
      </c>
      <c r="C62" t="s">
        <v>197</v>
      </c>
      <c r="D62" t="s">
        <v>30</v>
      </c>
      <c r="E62" t="str">
        <f t="shared" si="1"/>
        <v>wheat</v>
      </c>
      <c r="F62" t="s">
        <v>198</v>
      </c>
    </row>
    <row r="63" spans="1:6" ht="18.75" customHeight="1" x14ac:dyDescent="0.3">
      <c r="A63" s="1">
        <v>3284230006408</v>
      </c>
      <c r="B63" t="s">
        <v>199</v>
      </c>
      <c r="C63" t="s">
        <v>200</v>
      </c>
      <c r="D63" t="s">
        <v>201</v>
      </c>
      <c r="E63" t="str">
        <f t="shared" si="1"/>
        <v>egg, wheat</v>
      </c>
      <c r="F63" t="s">
        <v>202</v>
      </c>
    </row>
    <row r="64" spans="1:6" ht="18.75" customHeight="1" x14ac:dyDescent="0.3">
      <c r="A64" s="1">
        <v>7622201693916</v>
      </c>
      <c r="B64" t="s">
        <v>203</v>
      </c>
      <c r="C64" t="s">
        <v>204</v>
      </c>
      <c r="D64" t="s">
        <v>11</v>
      </c>
      <c r="E64" t="str">
        <f t="shared" si="1"/>
        <v>milk</v>
      </c>
      <c r="F64" t="s">
        <v>205</v>
      </c>
    </row>
    <row r="65" spans="1:6" ht="18.75" customHeight="1" x14ac:dyDescent="0.3">
      <c r="A65" s="1">
        <v>50457243</v>
      </c>
      <c r="B65" t="s">
        <v>114</v>
      </c>
      <c r="C65" t="s">
        <v>206</v>
      </c>
      <c r="D65" t="s">
        <v>116</v>
      </c>
      <c r="E65" t="str">
        <f t="shared" si="1"/>
        <v/>
      </c>
      <c r="F65" t="s">
        <v>207</v>
      </c>
    </row>
    <row r="66" spans="1:6" ht="18.75" customHeight="1" x14ac:dyDescent="0.3">
      <c r="A66" s="1">
        <v>8722700479475</v>
      </c>
      <c r="B66" t="s">
        <v>208</v>
      </c>
      <c r="C66" t="s">
        <v>209</v>
      </c>
      <c r="D66" t="s">
        <v>210</v>
      </c>
      <c r="E66" t="str">
        <f t="shared" ref="E66:E97" si="2">_xlfn.LET(
    _xlpm.raw, LOWER(D66),
    _xlpm.milk, IF(OR(ISNUMBER(SEARCH("milk",_xlpm.raw)),ISNUMBER(SEARCH("whey",_xlpm.raw)),ISNUMBER(SEARCH("skimmed milk",_xlpm.raw)),ISNUMBER(SEARCH("skimmed milk powder",_xlpm.raw)),ISNUMBER(SEARCH("butter",_xlpm.raw)),ISNUMBER(SEARCH("condensed whey",_xlpm.raw))), "milk, ", ""),
    _xlpm.egg, IF(OR(ISNUMBER(SEARCH("egg",_xlpm.raw)),ISNUMBER(SEARCH("eggs",_xlpm.raw)),ISNUMBER(SEARCH("egg white",_xlpm.raw)),ISNUMBER(SEARCH("egg yolk",_xlpm.raw))), "egg, ", ""),
    _xlpm.peanut, IF(OR(ISNUMBER(SEARCH("peanut",_xlpm.raw)),ISNUMBER(SEARCH("peanuts",_xlpm.raw))), "peanut, ", ""),
    _xlpm.treenut, IF(OR(ISNUMBER(SEARCH("nut",_xlpm.raw)),ISNUMBER(SEARCH("almond",_xlpm.raw)),ISNUMBER(SEARCH("hazelnut",_xlpm.raw)),ISNUMBER(SEARCH("cashew",_xlpm.raw)),ISNUMBER(SEARCH("walnut",_xlpm.raw)),ISNUMBER(SEARCH("pistachio",_xlpm.raw))), "tree nut, ", ""),
    _xlpm.wheat, IF(OR(ISNUMBER(SEARCH("gluten",_xlpm.raw)),ISNUMBER(SEARCH("wheat",_xlpm.raw)),ISNUMBER(SEARCH("flour",_xlpm.raw))), "wheat, ", ""),
    _xlpm.soy, IF(OR(ISNUMBER(SEARCH("soy",_xlpm.raw)),ISNUMBER(SEARCH("soya",_xlpm.raw)),ISNUMBER(SEARCH("soybeans",_xlpm.raw)),ISNUMBER(SEARCH("soy lecithin",_xlpm.raw))), "soy, ", ""),
    _xlpm.fish, IF(OR(ISNUMBER(SEARCH("fish",_xlpm.raw)),ISNUMBER(SEARCH("salmon",_xlpm.raw)),ISNUMBER(SEARCH("tuna",_xlpm.raw)),ISNUMBER(SEARCH("cod",_xlpm.raw))), "fish, ", ""),
    _xlpm.shellfish, IF(OR(ISNUMBER(SEARCH("shellfish",_xlpm.raw)),ISNUMBER(SEARCH("shrimp",_xlpm.raw)),ISNUMBER(SEARCH("prawn",_xlpm.raw)),ISNUMBER(SEARCH("crab",_xlpm.raw)),ISNUMBER(SEARCH("lobster",_xlpm.raw))), "shellfish, ", ""),
    _xlpm.sesame, IF(OR(ISNUMBER(SEARCH("sesame",_xlpm.raw)),ISNUMBER(SEARCH("sesame-seeds",_xlpm.raw))), "sesame, ", ""),
    _xlpm.mapped, _xlpm.milk &amp; _xlpm.egg &amp; _xlpm.peanut &amp; _xlpm.treenut &amp; _xlpm.wheat &amp; _xlpm.soy &amp; _xlpm.fish &amp; _xlpm.shellfish &amp; _xlpm.sesame,
    IF(_xlpm.mapped&lt;&gt;"", LEFT(_xlpm.mapped,LEN(_xlpm.mapped)-2), "")
)</f>
        <v>egg</v>
      </c>
      <c r="F66" t="s">
        <v>211</v>
      </c>
    </row>
    <row r="67" spans="1:6" ht="18.75" customHeight="1" x14ac:dyDescent="0.3">
      <c r="A67" s="1">
        <v>8719200237902</v>
      </c>
      <c r="B67" t="s">
        <v>212</v>
      </c>
      <c r="C67" t="s">
        <v>213</v>
      </c>
      <c r="D67" t="s">
        <v>11</v>
      </c>
      <c r="E67" t="str">
        <f t="shared" si="2"/>
        <v>milk</v>
      </c>
      <c r="F67" t="s">
        <v>214</v>
      </c>
    </row>
    <row r="68" spans="1:6" ht="18.75" customHeight="1" x14ac:dyDescent="0.3">
      <c r="A68" s="1">
        <v>8076809523547</v>
      </c>
      <c r="B68" t="s">
        <v>215</v>
      </c>
      <c r="C68" t="s">
        <v>216</v>
      </c>
      <c r="D68" t="s">
        <v>217</v>
      </c>
      <c r="E68" t="str">
        <f t="shared" si="2"/>
        <v>milk, egg, tree nut</v>
      </c>
      <c r="F68" t="s">
        <v>218</v>
      </c>
    </row>
    <row r="69" spans="1:6" ht="18.75" customHeight="1" x14ac:dyDescent="0.3">
      <c r="A69" s="1">
        <v>20815394</v>
      </c>
      <c r="B69" t="s">
        <v>219</v>
      </c>
      <c r="C69" t="s">
        <v>220</v>
      </c>
      <c r="D69" t="s">
        <v>221</v>
      </c>
      <c r="E69" t="str">
        <f t="shared" si="2"/>
        <v>tree nut</v>
      </c>
      <c r="F69" t="s">
        <v>222</v>
      </c>
    </row>
    <row r="70" spans="1:6" ht="18.75" customHeight="1" x14ac:dyDescent="0.3">
      <c r="A70" s="1">
        <v>3480341000636</v>
      </c>
      <c r="B70" t="s">
        <v>223</v>
      </c>
      <c r="C70" t="s">
        <v>224</v>
      </c>
      <c r="D70" t="s">
        <v>11</v>
      </c>
      <c r="E70" t="str">
        <f t="shared" si="2"/>
        <v>milk</v>
      </c>
      <c r="F70" t="s">
        <v>225</v>
      </c>
    </row>
    <row r="71" spans="1:6" ht="18.75" customHeight="1" x14ac:dyDescent="0.3">
      <c r="A71" s="1">
        <v>8718114724485</v>
      </c>
      <c r="B71" t="s">
        <v>226</v>
      </c>
      <c r="C71" t="s">
        <v>227</v>
      </c>
      <c r="D71" t="s">
        <v>210</v>
      </c>
      <c r="E71" t="str">
        <f t="shared" si="2"/>
        <v>egg</v>
      </c>
      <c r="F71" t="s">
        <v>228</v>
      </c>
    </row>
    <row r="72" spans="1:6" ht="18.75" customHeight="1" x14ac:dyDescent="0.3">
      <c r="A72" s="1">
        <v>5411188103387</v>
      </c>
      <c r="B72" t="s">
        <v>229</v>
      </c>
      <c r="C72" t="s">
        <v>230</v>
      </c>
      <c r="D72" t="s">
        <v>34</v>
      </c>
      <c r="E72" t="str">
        <f t="shared" si="2"/>
        <v>soy</v>
      </c>
      <c r="F72" t="s">
        <v>231</v>
      </c>
    </row>
    <row r="73" spans="1:6" ht="18.75" customHeight="1" x14ac:dyDescent="0.3">
      <c r="A73" s="1">
        <v>5010029000023</v>
      </c>
      <c r="B73" t="s">
        <v>77</v>
      </c>
      <c r="C73" t="s">
        <v>232</v>
      </c>
      <c r="D73" t="s">
        <v>30</v>
      </c>
      <c r="E73" t="str">
        <f t="shared" si="2"/>
        <v>wheat</v>
      </c>
      <c r="F73" t="s">
        <v>233</v>
      </c>
    </row>
    <row r="74" spans="1:6" ht="18.75" customHeight="1" x14ac:dyDescent="0.3">
      <c r="A74" s="1">
        <v>4056489346357</v>
      </c>
      <c r="B74" t="s">
        <v>234</v>
      </c>
      <c r="C74" t="s">
        <v>235</v>
      </c>
      <c r="D74" t="s">
        <v>112</v>
      </c>
      <c r="E74" t="str">
        <f t="shared" si="2"/>
        <v>tree nut, wheat</v>
      </c>
      <c r="F74" t="s">
        <v>236</v>
      </c>
    </row>
    <row r="75" spans="1:6" ht="18.75" customHeight="1" x14ac:dyDescent="0.3">
      <c r="A75" s="1">
        <v>5201054017432</v>
      </c>
      <c r="B75" t="s">
        <v>237</v>
      </c>
      <c r="C75" t="s">
        <v>238</v>
      </c>
      <c r="D75" t="s">
        <v>11</v>
      </c>
      <c r="E75" t="str">
        <f t="shared" si="2"/>
        <v>milk</v>
      </c>
      <c r="F75" t="s">
        <v>239</v>
      </c>
    </row>
    <row r="76" spans="1:6" ht="18.75" customHeight="1" x14ac:dyDescent="0.3">
      <c r="A76" s="1">
        <v>4088600247519</v>
      </c>
      <c r="B76" t="s">
        <v>240</v>
      </c>
      <c r="C76" t="s">
        <v>241</v>
      </c>
      <c r="D76" t="s">
        <v>30</v>
      </c>
      <c r="E76" t="str">
        <f t="shared" si="2"/>
        <v>wheat</v>
      </c>
      <c r="F76" t="s">
        <v>242</v>
      </c>
    </row>
    <row r="77" spans="1:6" ht="18.75" customHeight="1" x14ac:dyDescent="0.3">
      <c r="A77" s="1">
        <v>3046920029780</v>
      </c>
      <c r="B77" t="s">
        <v>243</v>
      </c>
      <c r="C77" t="s">
        <v>244</v>
      </c>
      <c r="D77" t="s">
        <v>34</v>
      </c>
      <c r="E77" t="str">
        <f t="shared" si="2"/>
        <v>soy</v>
      </c>
      <c r="F77" t="s">
        <v>245</v>
      </c>
    </row>
    <row r="78" spans="1:6" ht="18.75" customHeight="1" x14ac:dyDescent="0.3">
      <c r="A78" s="1">
        <v>3366321052386</v>
      </c>
      <c r="B78" t="s">
        <v>246</v>
      </c>
      <c r="C78" t="s">
        <v>247</v>
      </c>
      <c r="D78" t="s">
        <v>248</v>
      </c>
      <c r="E78" t="str">
        <f t="shared" si="2"/>
        <v>tree nut, soy</v>
      </c>
      <c r="F78" t="s">
        <v>249</v>
      </c>
    </row>
    <row r="79" spans="1:6" ht="18.75" customHeight="1" x14ac:dyDescent="0.3">
      <c r="A79" s="1">
        <v>5053990101597</v>
      </c>
      <c r="B79" t="s">
        <v>250</v>
      </c>
      <c r="C79" t="s">
        <v>251</v>
      </c>
      <c r="D79" t="s">
        <v>252</v>
      </c>
      <c r="E79" t="str">
        <f t="shared" si="2"/>
        <v>milk, wheat</v>
      </c>
      <c r="F79" t="s">
        <v>253</v>
      </c>
    </row>
    <row r="80" spans="1:6" ht="18.75" customHeight="1" x14ac:dyDescent="0.3">
      <c r="A80" s="1">
        <v>7613039490266</v>
      </c>
      <c r="B80" t="s">
        <v>254</v>
      </c>
      <c r="C80" t="s">
        <v>255</v>
      </c>
      <c r="D80" t="s">
        <v>34</v>
      </c>
      <c r="E80" t="str">
        <f t="shared" si="2"/>
        <v>soy</v>
      </c>
      <c r="F80" t="s">
        <v>256</v>
      </c>
    </row>
    <row r="81" spans="1:6" ht="18.75" customHeight="1" x14ac:dyDescent="0.3">
      <c r="A81" s="1">
        <v>3033710084913</v>
      </c>
      <c r="B81" t="s">
        <v>257</v>
      </c>
      <c r="C81" t="s">
        <v>258</v>
      </c>
      <c r="D81" t="s">
        <v>30</v>
      </c>
      <c r="E81" t="str">
        <f t="shared" si="2"/>
        <v>wheat</v>
      </c>
      <c r="F81" t="s">
        <v>259</v>
      </c>
    </row>
    <row r="82" spans="1:6" ht="18.75" customHeight="1" x14ac:dyDescent="0.3">
      <c r="A82" s="1">
        <v>3760049791006</v>
      </c>
      <c r="B82" t="s">
        <v>260</v>
      </c>
      <c r="C82" t="s">
        <v>261</v>
      </c>
      <c r="D82" t="s">
        <v>30</v>
      </c>
      <c r="E82" t="str">
        <f t="shared" si="2"/>
        <v>wheat</v>
      </c>
      <c r="F82" t="s">
        <v>262</v>
      </c>
    </row>
    <row r="83" spans="1:6" ht="18.75" customHeight="1" x14ac:dyDescent="0.3">
      <c r="A83" s="1">
        <v>4008400404127</v>
      </c>
      <c r="B83" t="s">
        <v>24</v>
      </c>
      <c r="C83" t="s">
        <v>263</v>
      </c>
      <c r="D83" t="s">
        <v>264</v>
      </c>
      <c r="E83" t="str">
        <f t="shared" si="2"/>
        <v>milk, tree nut, soy</v>
      </c>
      <c r="F83" t="s">
        <v>265</v>
      </c>
    </row>
    <row r="84" spans="1:6" ht="18.75" customHeight="1" x14ac:dyDescent="0.3">
      <c r="A84" s="1">
        <v>4056489007180</v>
      </c>
      <c r="B84" t="s">
        <v>266</v>
      </c>
      <c r="C84" t="s">
        <v>267</v>
      </c>
      <c r="D84" t="s">
        <v>30</v>
      </c>
      <c r="E84" t="str">
        <f t="shared" si="2"/>
        <v>wheat</v>
      </c>
      <c r="F84" t="s">
        <v>268</v>
      </c>
    </row>
    <row r="85" spans="1:6" ht="18.75" customHeight="1" x14ac:dyDescent="0.3">
      <c r="A85" s="1">
        <v>5410126006957</v>
      </c>
      <c r="B85" t="s">
        <v>269</v>
      </c>
      <c r="C85" t="s">
        <v>270</v>
      </c>
      <c r="D85" t="s">
        <v>185</v>
      </c>
      <c r="E85" t="str">
        <f t="shared" si="2"/>
        <v>wheat, soy</v>
      </c>
      <c r="F85" t="s">
        <v>271</v>
      </c>
    </row>
    <row r="86" spans="1:6" ht="18.75" customHeight="1" x14ac:dyDescent="0.3">
      <c r="A86" s="1">
        <v>7622210601988</v>
      </c>
      <c r="B86" t="s">
        <v>272</v>
      </c>
      <c r="C86" t="s">
        <v>273</v>
      </c>
      <c r="D86" t="s">
        <v>82</v>
      </c>
      <c r="E86" t="str">
        <f t="shared" si="2"/>
        <v>milk, wheat, soy</v>
      </c>
      <c r="F86" t="s">
        <v>274</v>
      </c>
    </row>
    <row r="87" spans="1:6" ht="18.75" customHeight="1" x14ac:dyDescent="0.3">
      <c r="A87" s="1">
        <v>80052760</v>
      </c>
      <c r="B87" t="s">
        <v>275</v>
      </c>
      <c r="C87" t="s">
        <v>276</v>
      </c>
      <c r="D87" t="s">
        <v>277</v>
      </c>
      <c r="E87" t="str">
        <f t="shared" si="2"/>
        <v>milk, tree nut, wheat, soy</v>
      </c>
      <c r="F87" t="s">
        <v>278</v>
      </c>
    </row>
    <row r="88" spans="1:6" ht="18.75" customHeight="1" x14ac:dyDescent="0.3">
      <c r="A88" s="1">
        <v>4016241030573</v>
      </c>
      <c r="B88" t="s">
        <v>279</v>
      </c>
      <c r="C88" t="s">
        <v>280</v>
      </c>
      <c r="D88" t="s">
        <v>11</v>
      </c>
      <c r="E88" t="str">
        <f t="shared" si="2"/>
        <v>milk</v>
      </c>
      <c r="F88" t="s">
        <v>281</v>
      </c>
    </row>
    <row r="89" spans="1:6" ht="18.75" customHeight="1" x14ac:dyDescent="0.3">
      <c r="A89" s="1">
        <v>7300400481571</v>
      </c>
      <c r="B89" t="s">
        <v>282</v>
      </c>
      <c r="C89" t="s">
        <v>283</v>
      </c>
      <c r="D89" t="s">
        <v>30</v>
      </c>
      <c r="E89" t="str">
        <f t="shared" si="2"/>
        <v>wheat</v>
      </c>
      <c r="F89" t="s">
        <v>284</v>
      </c>
    </row>
    <row r="90" spans="1:6" ht="18.75" customHeight="1" x14ac:dyDescent="0.3">
      <c r="A90" s="1">
        <v>20047559</v>
      </c>
      <c r="B90" t="s">
        <v>285</v>
      </c>
      <c r="C90" t="s">
        <v>286</v>
      </c>
      <c r="D90" t="s">
        <v>11</v>
      </c>
      <c r="E90" t="str">
        <f t="shared" si="2"/>
        <v>milk</v>
      </c>
      <c r="F90" t="s">
        <v>287</v>
      </c>
    </row>
    <row r="91" spans="1:6" ht="18.75" customHeight="1" x14ac:dyDescent="0.3">
      <c r="A91" s="1">
        <v>3362600001106</v>
      </c>
      <c r="B91" t="s">
        <v>288</v>
      </c>
      <c r="C91" t="s">
        <v>289</v>
      </c>
      <c r="D91" t="s">
        <v>252</v>
      </c>
      <c r="E91" t="str">
        <f t="shared" si="2"/>
        <v>milk, wheat</v>
      </c>
      <c r="F91" t="s">
        <v>290</v>
      </c>
    </row>
    <row r="92" spans="1:6" ht="18.75" customHeight="1" x14ac:dyDescent="0.3">
      <c r="A92" s="1">
        <v>3041090063114</v>
      </c>
      <c r="B92" t="s">
        <v>291</v>
      </c>
      <c r="C92" t="s">
        <v>292</v>
      </c>
      <c r="D92" t="s">
        <v>252</v>
      </c>
      <c r="E92" t="str">
        <f t="shared" si="2"/>
        <v>milk, wheat</v>
      </c>
      <c r="F92" t="s">
        <v>293</v>
      </c>
    </row>
    <row r="93" spans="1:6" ht="18.75" customHeight="1" x14ac:dyDescent="0.3">
      <c r="A93" s="1">
        <v>3175681851856</v>
      </c>
      <c r="B93" t="s">
        <v>294</v>
      </c>
      <c r="C93" t="s">
        <v>295</v>
      </c>
      <c r="D93" t="s">
        <v>30</v>
      </c>
      <c r="E93" t="str">
        <f t="shared" si="2"/>
        <v>wheat</v>
      </c>
      <c r="F93" t="s">
        <v>296</v>
      </c>
    </row>
    <row r="94" spans="1:6" ht="18.75" customHeight="1" x14ac:dyDescent="0.3">
      <c r="A94" s="1">
        <v>3061990143365</v>
      </c>
      <c r="B94" t="s">
        <v>297</v>
      </c>
      <c r="C94" t="s">
        <v>298</v>
      </c>
      <c r="D94" t="s">
        <v>252</v>
      </c>
      <c r="E94" t="str">
        <f t="shared" si="2"/>
        <v>milk, wheat</v>
      </c>
      <c r="F94" t="s">
        <v>299</v>
      </c>
    </row>
    <row r="95" spans="1:6" ht="18.75" customHeight="1" x14ac:dyDescent="0.3">
      <c r="A95" s="1">
        <v>5000168036755</v>
      </c>
      <c r="B95" t="s">
        <v>300</v>
      </c>
      <c r="C95" t="s">
        <v>301</v>
      </c>
      <c r="D95" t="s">
        <v>30</v>
      </c>
      <c r="E95" t="str">
        <f t="shared" si="2"/>
        <v>wheat</v>
      </c>
      <c r="F95" t="s">
        <v>302</v>
      </c>
    </row>
    <row r="96" spans="1:6" ht="18.75" customHeight="1" x14ac:dyDescent="0.3">
      <c r="A96" s="1">
        <v>5411188110835</v>
      </c>
      <c r="B96" t="s">
        <v>303</v>
      </c>
      <c r="C96" t="s">
        <v>304</v>
      </c>
      <c r="D96" t="s">
        <v>40</v>
      </c>
      <c r="E96" t="str">
        <f t="shared" si="2"/>
        <v>tree nut</v>
      </c>
      <c r="F96" t="s">
        <v>305</v>
      </c>
    </row>
    <row r="97" spans="1:6" ht="18.75" customHeight="1" x14ac:dyDescent="0.3">
      <c r="A97" s="1">
        <v>3228857001231</v>
      </c>
      <c r="B97" t="s">
        <v>306</v>
      </c>
      <c r="C97" t="s">
        <v>307</v>
      </c>
      <c r="D97" t="s">
        <v>201</v>
      </c>
      <c r="E97" t="str">
        <f t="shared" si="2"/>
        <v>egg, wheat</v>
      </c>
      <c r="F97" t="s">
        <v>308</v>
      </c>
    </row>
    <row r="98" spans="1:6" ht="18.75" customHeight="1" x14ac:dyDescent="0.3">
      <c r="A98" s="1">
        <v>5013665108801</v>
      </c>
      <c r="B98" t="s">
        <v>309</v>
      </c>
      <c r="C98" t="s">
        <v>310</v>
      </c>
      <c r="D98" t="s">
        <v>89</v>
      </c>
      <c r="E98" t="str">
        <f t="shared" ref="E98:E129" si="3">_xlfn.LET(
    _xlpm.raw, LOWER(D98),
    _xlpm.milk, IF(OR(ISNUMBER(SEARCH("milk",_xlpm.raw)),ISNUMBER(SEARCH("whey",_xlpm.raw)),ISNUMBER(SEARCH("skimmed milk",_xlpm.raw)),ISNUMBER(SEARCH("skimmed milk powder",_xlpm.raw)),ISNUMBER(SEARCH("butter",_xlpm.raw)),ISNUMBER(SEARCH("condensed whey",_xlpm.raw))), "milk, ", ""),
    _xlpm.egg, IF(OR(ISNUMBER(SEARCH("egg",_xlpm.raw)),ISNUMBER(SEARCH("eggs",_xlpm.raw)),ISNUMBER(SEARCH("egg white",_xlpm.raw)),ISNUMBER(SEARCH("egg yolk",_xlpm.raw))), "egg, ", ""),
    _xlpm.peanut, IF(OR(ISNUMBER(SEARCH("peanut",_xlpm.raw)),ISNUMBER(SEARCH("peanuts",_xlpm.raw))), "peanut, ", ""),
    _xlpm.treenut, IF(OR(ISNUMBER(SEARCH("nut",_xlpm.raw)),ISNUMBER(SEARCH("almond",_xlpm.raw)),ISNUMBER(SEARCH("hazelnut",_xlpm.raw)),ISNUMBER(SEARCH("cashew",_xlpm.raw)),ISNUMBER(SEARCH("walnut",_xlpm.raw)),ISNUMBER(SEARCH("pistachio",_xlpm.raw))), "tree nut, ", ""),
    _xlpm.wheat, IF(OR(ISNUMBER(SEARCH("gluten",_xlpm.raw)),ISNUMBER(SEARCH("wheat",_xlpm.raw)),ISNUMBER(SEARCH("flour",_xlpm.raw))), "wheat, ", ""),
    _xlpm.soy, IF(OR(ISNUMBER(SEARCH("soy",_xlpm.raw)),ISNUMBER(SEARCH("soya",_xlpm.raw)),ISNUMBER(SEARCH("soybeans",_xlpm.raw)),ISNUMBER(SEARCH("soy lecithin",_xlpm.raw))), "soy, ", ""),
    _xlpm.fish, IF(OR(ISNUMBER(SEARCH("fish",_xlpm.raw)),ISNUMBER(SEARCH("salmon",_xlpm.raw)),ISNUMBER(SEARCH("tuna",_xlpm.raw)),ISNUMBER(SEARCH("cod",_xlpm.raw))), "fish, ", ""),
    _xlpm.shellfish, IF(OR(ISNUMBER(SEARCH("shellfish",_xlpm.raw)),ISNUMBER(SEARCH("shrimp",_xlpm.raw)),ISNUMBER(SEARCH("prawn",_xlpm.raw)),ISNUMBER(SEARCH("crab",_xlpm.raw)),ISNUMBER(SEARCH("lobster",_xlpm.raw))), "shellfish, ", ""),
    _xlpm.sesame, IF(OR(ISNUMBER(SEARCH("sesame",_xlpm.raw)),ISNUMBER(SEARCH("sesame-seeds",_xlpm.raw))), "sesame, ", ""),
    _xlpm.mapped, _xlpm.milk &amp; _xlpm.egg &amp; _xlpm.peanut &amp; _xlpm.treenut &amp; _xlpm.wheat &amp; _xlpm.soy &amp; _xlpm.fish &amp; _xlpm.shellfish &amp; _xlpm.sesame,
    IF(_xlpm.mapped&lt;&gt;"", LEFT(_xlpm.mapped,LEN(_xlpm.mapped)-2), "")
)</f>
        <v>peanut, tree nut</v>
      </c>
      <c r="F98" t="s">
        <v>311</v>
      </c>
    </row>
    <row r="99" spans="1:6" ht="18.75" customHeight="1" x14ac:dyDescent="0.3">
      <c r="A99" s="1">
        <v>20202392</v>
      </c>
      <c r="B99" t="s">
        <v>312</v>
      </c>
      <c r="C99" t="s">
        <v>313</v>
      </c>
      <c r="D99" t="s">
        <v>40</v>
      </c>
      <c r="E99" t="str">
        <f t="shared" si="3"/>
        <v>tree nut</v>
      </c>
      <c r="F99" t="s">
        <v>314</v>
      </c>
    </row>
    <row r="100" spans="1:6" ht="18.75" customHeight="1" x14ac:dyDescent="0.3">
      <c r="A100" s="1">
        <v>3327272107259</v>
      </c>
      <c r="B100" t="s">
        <v>315</v>
      </c>
      <c r="C100" t="s">
        <v>316</v>
      </c>
      <c r="D100" t="s">
        <v>317</v>
      </c>
      <c r="E100" t="str">
        <f t="shared" si="3"/>
        <v>milk, peanut, tree nut</v>
      </c>
      <c r="F100" t="s">
        <v>318</v>
      </c>
    </row>
    <row r="101" spans="1:6" ht="18.75" customHeight="1" x14ac:dyDescent="0.3">
      <c r="A101" s="1">
        <v>5000159461122</v>
      </c>
      <c r="B101" t="s">
        <v>319</v>
      </c>
      <c r="C101" t="s">
        <v>320</v>
      </c>
      <c r="D101" t="s">
        <v>321</v>
      </c>
      <c r="E101" t="str">
        <f t="shared" si="3"/>
        <v>milk, egg, peanut, tree nut, soy</v>
      </c>
      <c r="F101" t="s">
        <v>322</v>
      </c>
    </row>
    <row r="102" spans="1:6" ht="18.75" customHeight="1" x14ac:dyDescent="0.3">
      <c r="A102" s="1">
        <v>3228857000166</v>
      </c>
      <c r="B102" t="s">
        <v>323</v>
      </c>
      <c r="C102" t="s">
        <v>324</v>
      </c>
      <c r="D102" t="s">
        <v>30</v>
      </c>
      <c r="E102" t="str">
        <f t="shared" si="3"/>
        <v>wheat</v>
      </c>
      <c r="F102" t="s">
        <v>325</v>
      </c>
    </row>
    <row r="103" spans="1:6" ht="18.75" customHeight="1" x14ac:dyDescent="0.3">
      <c r="A103" s="1">
        <v>5010044000701</v>
      </c>
      <c r="B103" t="s">
        <v>326</v>
      </c>
      <c r="C103" t="s">
        <v>327</v>
      </c>
      <c r="D103" t="s">
        <v>30</v>
      </c>
      <c r="E103" t="str">
        <f t="shared" si="3"/>
        <v>wheat</v>
      </c>
      <c r="F103" t="s">
        <v>328</v>
      </c>
    </row>
    <row r="104" spans="1:6" ht="18.75" customHeight="1" x14ac:dyDescent="0.3">
      <c r="A104" s="1">
        <v>7622201133337</v>
      </c>
      <c r="B104" t="s">
        <v>329</v>
      </c>
      <c r="C104" t="s">
        <v>330</v>
      </c>
      <c r="D104" t="s">
        <v>30</v>
      </c>
      <c r="E104" t="str">
        <f t="shared" si="3"/>
        <v>wheat</v>
      </c>
      <c r="F104" t="s">
        <v>331</v>
      </c>
    </row>
    <row r="105" spans="1:6" ht="18.75" customHeight="1" x14ac:dyDescent="0.3">
      <c r="A105" s="1">
        <v>5016084000374</v>
      </c>
      <c r="B105" t="s">
        <v>332</v>
      </c>
      <c r="C105" t="s">
        <v>333</v>
      </c>
      <c r="D105" t="s">
        <v>334</v>
      </c>
      <c r="E105" t="str">
        <f t="shared" si="3"/>
        <v>milk, soy</v>
      </c>
      <c r="F105" t="s">
        <v>335</v>
      </c>
    </row>
    <row r="106" spans="1:6" ht="18.75" customHeight="1" x14ac:dyDescent="0.3">
      <c r="A106" s="1">
        <v>8715035110106</v>
      </c>
      <c r="B106" t="s">
        <v>336</v>
      </c>
      <c r="C106" t="s">
        <v>337</v>
      </c>
      <c r="D106" t="s">
        <v>185</v>
      </c>
      <c r="E106" t="str">
        <f t="shared" si="3"/>
        <v>wheat, soy</v>
      </c>
      <c r="F106" t="s">
        <v>338</v>
      </c>
    </row>
    <row r="107" spans="1:6" ht="18.75" customHeight="1" x14ac:dyDescent="0.3">
      <c r="A107" s="1">
        <v>8434165466333</v>
      </c>
      <c r="B107" t="s">
        <v>339</v>
      </c>
      <c r="C107" t="s">
        <v>340</v>
      </c>
      <c r="D107" t="s">
        <v>341</v>
      </c>
      <c r="E107" t="str">
        <f t="shared" si="3"/>
        <v>wheat</v>
      </c>
      <c r="F107" t="s">
        <v>342</v>
      </c>
    </row>
    <row r="108" spans="1:6" ht="18.75" customHeight="1" x14ac:dyDescent="0.3">
      <c r="A108" s="1">
        <v>5053990155354</v>
      </c>
      <c r="B108" t="s">
        <v>343</v>
      </c>
      <c r="C108" t="s">
        <v>344</v>
      </c>
      <c r="D108" t="s">
        <v>252</v>
      </c>
      <c r="E108" t="str">
        <f t="shared" si="3"/>
        <v>milk, wheat</v>
      </c>
      <c r="F108" t="s">
        <v>345</v>
      </c>
    </row>
    <row r="109" spans="1:6" ht="18.75" customHeight="1" x14ac:dyDescent="0.3">
      <c r="A109" s="1">
        <v>8076800195057</v>
      </c>
      <c r="B109" t="s">
        <v>346</v>
      </c>
      <c r="C109" t="s">
        <v>347</v>
      </c>
      <c r="D109" t="s">
        <v>30</v>
      </c>
      <c r="E109" t="str">
        <f t="shared" si="3"/>
        <v>wheat</v>
      </c>
      <c r="F109" t="s">
        <v>348</v>
      </c>
    </row>
    <row r="110" spans="1:6" ht="18.75" customHeight="1" x14ac:dyDescent="0.3">
      <c r="A110" s="1">
        <v>3229820787015</v>
      </c>
      <c r="B110" t="s">
        <v>349</v>
      </c>
      <c r="C110" t="s">
        <v>350</v>
      </c>
      <c r="D110" t="s">
        <v>40</v>
      </c>
      <c r="E110" t="str">
        <f t="shared" si="3"/>
        <v>tree nut</v>
      </c>
      <c r="F110" t="s">
        <v>351</v>
      </c>
    </row>
    <row r="111" spans="1:6" ht="18.75" customHeight="1" x14ac:dyDescent="0.3">
      <c r="A111" s="1">
        <v>8410076601131</v>
      </c>
      <c r="B111" t="s">
        <v>352</v>
      </c>
      <c r="C111" t="s">
        <v>353</v>
      </c>
      <c r="D111" t="s">
        <v>112</v>
      </c>
      <c r="E111" t="str">
        <f t="shared" si="3"/>
        <v>tree nut, wheat</v>
      </c>
      <c r="F111" t="s">
        <v>354</v>
      </c>
    </row>
    <row r="112" spans="1:6" ht="18.75" customHeight="1" x14ac:dyDescent="0.3">
      <c r="A112" s="1">
        <v>5060337220415</v>
      </c>
      <c r="B112" t="s">
        <v>355</v>
      </c>
      <c r="C112" t="s">
        <v>356</v>
      </c>
      <c r="D112" t="s">
        <v>11</v>
      </c>
      <c r="E112" t="str">
        <f t="shared" si="3"/>
        <v>milk</v>
      </c>
      <c r="F112" t="s">
        <v>357</v>
      </c>
    </row>
    <row r="113" spans="1:6" ht="18.75" customHeight="1" x14ac:dyDescent="0.3">
      <c r="A113" s="1">
        <v>5025125000105</v>
      </c>
      <c r="B113" t="s">
        <v>358</v>
      </c>
      <c r="C113" t="s">
        <v>359</v>
      </c>
      <c r="D113" t="s">
        <v>30</v>
      </c>
      <c r="E113" t="str">
        <f t="shared" si="3"/>
        <v>wheat</v>
      </c>
      <c r="F113" t="s">
        <v>360</v>
      </c>
    </row>
    <row r="114" spans="1:6" ht="18.75" customHeight="1" x14ac:dyDescent="0.3">
      <c r="A114" s="1">
        <v>3175680011534</v>
      </c>
      <c r="B114" t="s">
        <v>361</v>
      </c>
      <c r="C114" t="s">
        <v>362</v>
      </c>
      <c r="D114" t="s">
        <v>82</v>
      </c>
      <c r="E114" t="str">
        <f t="shared" si="3"/>
        <v>milk, wheat, soy</v>
      </c>
      <c r="F114" t="s">
        <v>363</v>
      </c>
    </row>
    <row r="115" spans="1:6" ht="18.75" customHeight="1" x14ac:dyDescent="0.3">
      <c r="A115" s="1">
        <v>5411188119098</v>
      </c>
      <c r="B115" t="s">
        <v>364</v>
      </c>
      <c r="C115" t="s">
        <v>365</v>
      </c>
      <c r="D115" t="s">
        <v>366</v>
      </c>
      <c r="E115" t="str">
        <f t="shared" si="3"/>
        <v>soy</v>
      </c>
      <c r="F115" t="s">
        <v>367</v>
      </c>
    </row>
    <row r="116" spans="1:6" ht="18.75" customHeight="1" x14ac:dyDescent="0.3">
      <c r="A116" s="1">
        <v>4014400400007</v>
      </c>
      <c r="B116" t="s">
        <v>368</v>
      </c>
      <c r="C116" t="s">
        <v>369</v>
      </c>
      <c r="D116" t="s">
        <v>370</v>
      </c>
      <c r="E116" t="str">
        <f t="shared" si="3"/>
        <v>milk, peanut, tree nut, soy</v>
      </c>
      <c r="F116" t="s">
        <v>371</v>
      </c>
    </row>
    <row r="117" spans="1:6" ht="18.75" customHeight="1" x14ac:dyDescent="0.3">
      <c r="A117" s="1">
        <v>5411188115366</v>
      </c>
      <c r="B117" t="s">
        <v>372</v>
      </c>
      <c r="C117" t="s">
        <v>373</v>
      </c>
      <c r="D117" t="s">
        <v>30</v>
      </c>
      <c r="E117" t="str">
        <f t="shared" si="3"/>
        <v>wheat</v>
      </c>
      <c r="F117" t="s">
        <v>374</v>
      </c>
    </row>
    <row r="118" spans="1:6" ht="18.75" customHeight="1" x14ac:dyDescent="0.3">
      <c r="A118" s="1">
        <v>4088600327587</v>
      </c>
      <c r="B118" t="s">
        <v>375</v>
      </c>
      <c r="C118" t="s">
        <v>376</v>
      </c>
      <c r="D118" t="s">
        <v>30</v>
      </c>
      <c r="E118" t="str">
        <f t="shared" si="3"/>
        <v>wheat</v>
      </c>
      <c r="F118" t="s">
        <v>377</v>
      </c>
    </row>
    <row r="119" spans="1:6" ht="18.75" customHeight="1" x14ac:dyDescent="0.3">
      <c r="A119" s="1">
        <v>3175681105423</v>
      </c>
      <c r="B119" t="s">
        <v>378</v>
      </c>
      <c r="C119" t="s">
        <v>379</v>
      </c>
      <c r="D119" t="s">
        <v>30</v>
      </c>
      <c r="E119" t="str">
        <f t="shared" si="3"/>
        <v>wheat</v>
      </c>
      <c r="F119" t="s">
        <v>380</v>
      </c>
    </row>
    <row r="120" spans="1:6" ht="18.75" customHeight="1" x14ac:dyDescent="0.3">
      <c r="A120" s="1">
        <v>5036589255598</v>
      </c>
      <c r="B120" t="s">
        <v>381</v>
      </c>
      <c r="C120" t="s">
        <v>382</v>
      </c>
      <c r="D120" t="s">
        <v>11</v>
      </c>
      <c r="E120" t="str">
        <f t="shared" si="3"/>
        <v>milk</v>
      </c>
      <c r="F120" t="s">
        <v>383</v>
      </c>
    </row>
    <row r="121" spans="1:6" ht="18.75" customHeight="1" x14ac:dyDescent="0.3">
      <c r="A121" s="1">
        <v>3159470000120</v>
      </c>
      <c r="B121" t="s">
        <v>384</v>
      </c>
      <c r="C121" t="s">
        <v>385</v>
      </c>
      <c r="D121" t="s">
        <v>30</v>
      </c>
      <c r="E121" t="str">
        <f t="shared" si="3"/>
        <v>wheat</v>
      </c>
      <c r="F121" t="s">
        <v>386</v>
      </c>
    </row>
    <row r="122" spans="1:6" ht="18.75" customHeight="1" x14ac:dyDescent="0.3">
      <c r="A122" s="1">
        <v>5059697710001</v>
      </c>
      <c r="B122" t="s">
        <v>387</v>
      </c>
      <c r="C122" t="s">
        <v>388</v>
      </c>
      <c r="D122" t="s">
        <v>11</v>
      </c>
      <c r="E122" t="str">
        <f t="shared" si="3"/>
        <v>milk</v>
      </c>
      <c r="F122" t="s">
        <v>389</v>
      </c>
    </row>
    <row r="123" spans="1:6" ht="18.75" customHeight="1" x14ac:dyDescent="0.3">
      <c r="A123" s="1">
        <v>1318180</v>
      </c>
      <c r="B123" t="s">
        <v>390</v>
      </c>
      <c r="C123" t="s">
        <v>391</v>
      </c>
      <c r="D123" t="s">
        <v>185</v>
      </c>
      <c r="E123" t="str">
        <f t="shared" si="3"/>
        <v>wheat, soy</v>
      </c>
      <c r="F123" t="s">
        <v>392</v>
      </c>
    </row>
    <row r="124" spans="1:6" ht="18.75" customHeight="1" x14ac:dyDescent="0.3">
      <c r="A124" s="1">
        <v>3175680011442</v>
      </c>
      <c r="B124" t="s">
        <v>393</v>
      </c>
      <c r="C124" t="s">
        <v>394</v>
      </c>
      <c r="D124" t="s">
        <v>185</v>
      </c>
      <c r="E124" t="str">
        <f t="shared" si="3"/>
        <v>wheat, soy</v>
      </c>
      <c r="F124" t="s">
        <v>395</v>
      </c>
    </row>
    <row r="125" spans="1:6" ht="18.75" customHeight="1" x14ac:dyDescent="0.3">
      <c r="A125" s="1">
        <v>5000168198491</v>
      </c>
      <c r="B125" t="s">
        <v>396</v>
      </c>
      <c r="C125" t="s">
        <v>397</v>
      </c>
      <c r="D125" t="s">
        <v>252</v>
      </c>
      <c r="E125" t="str">
        <f t="shared" si="3"/>
        <v>milk, wheat</v>
      </c>
      <c r="F125" t="s">
        <v>398</v>
      </c>
    </row>
    <row r="126" spans="1:6" ht="18.75" customHeight="1" x14ac:dyDescent="0.3">
      <c r="A126" s="1">
        <v>7394376616501</v>
      </c>
      <c r="B126" t="s">
        <v>399</v>
      </c>
      <c r="C126" t="s">
        <v>400</v>
      </c>
      <c r="D126" t="s">
        <v>30</v>
      </c>
      <c r="E126" t="str">
        <f t="shared" si="3"/>
        <v>wheat</v>
      </c>
      <c r="F126" t="s">
        <v>401</v>
      </c>
    </row>
    <row r="127" spans="1:6" ht="18.75" customHeight="1" x14ac:dyDescent="0.3">
      <c r="A127" s="1">
        <v>3046920010047</v>
      </c>
      <c r="B127" t="s">
        <v>402</v>
      </c>
      <c r="C127" t="s">
        <v>403</v>
      </c>
      <c r="D127" t="s">
        <v>11</v>
      </c>
      <c r="E127" t="str">
        <f t="shared" si="3"/>
        <v>milk</v>
      </c>
      <c r="F127" t="s">
        <v>404</v>
      </c>
    </row>
    <row r="128" spans="1:6" ht="18.75" customHeight="1" x14ac:dyDescent="0.3">
      <c r="A128" s="1">
        <v>3664346312936</v>
      </c>
      <c r="B128" t="s">
        <v>405</v>
      </c>
      <c r="C128" t="s">
        <v>406</v>
      </c>
      <c r="D128" t="s">
        <v>75</v>
      </c>
      <c r="E128" t="str">
        <f t="shared" si="3"/>
        <v>milk, tree nut</v>
      </c>
      <c r="F128" t="s">
        <v>407</v>
      </c>
    </row>
    <row r="129" spans="1:6" ht="18.75" customHeight="1" x14ac:dyDescent="0.3">
      <c r="A129" s="1">
        <v>8715700407760</v>
      </c>
      <c r="B129" t="s">
        <v>408</v>
      </c>
      <c r="C129" t="s">
        <v>409</v>
      </c>
      <c r="D129" t="s">
        <v>116</v>
      </c>
      <c r="E129" t="str">
        <f t="shared" si="3"/>
        <v/>
      </c>
      <c r="F129" t="s">
        <v>410</v>
      </c>
    </row>
    <row r="130" spans="1:6" ht="18.75" customHeight="1" x14ac:dyDescent="0.3">
      <c r="A130" s="1">
        <v>3017760542890</v>
      </c>
      <c r="B130" t="s">
        <v>411</v>
      </c>
      <c r="C130" t="s">
        <v>412</v>
      </c>
      <c r="D130" t="s">
        <v>30</v>
      </c>
      <c r="E130" t="str">
        <f t="shared" ref="E130:E161" si="4">_xlfn.LET(
    _xlpm.raw, LOWER(D130),
    _xlpm.milk, IF(OR(ISNUMBER(SEARCH("milk",_xlpm.raw)),ISNUMBER(SEARCH("whey",_xlpm.raw)),ISNUMBER(SEARCH("skimmed milk",_xlpm.raw)),ISNUMBER(SEARCH("skimmed milk powder",_xlpm.raw)),ISNUMBER(SEARCH("butter",_xlpm.raw)),ISNUMBER(SEARCH("condensed whey",_xlpm.raw))), "milk, ", ""),
    _xlpm.egg, IF(OR(ISNUMBER(SEARCH("egg",_xlpm.raw)),ISNUMBER(SEARCH("eggs",_xlpm.raw)),ISNUMBER(SEARCH("egg white",_xlpm.raw)),ISNUMBER(SEARCH("egg yolk",_xlpm.raw))), "egg, ", ""),
    _xlpm.peanut, IF(OR(ISNUMBER(SEARCH("peanut",_xlpm.raw)),ISNUMBER(SEARCH("peanuts",_xlpm.raw))), "peanut, ", ""),
    _xlpm.treenut, IF(OR(ISNUMBER(SEARCH("nut",_xlpm.raw)),ISNUMBER(SEARCH("almond",_xlpm.raw)),ISNUMBER(SEARCH("hazelnut",_xlpm.raw)),ISNUMBER(SEARCH("cashew",_xlpm.raw)),ISNUMBER(SEARCH("walnut",_xlpm.raw)),ISNUMBER(SEARCH("pistachio",_xlpm.raw))), "tree nut, ", ""),
    _xlpm.wheat, IF(OR(ISNUMBER(SEARCH("gluten",_xlpm.raw)),ISNUMBER(SEARCH("wheat",_xlpm.raw)),ISNUMBER(SEARCH("flour",_xlpm.raw))), "wheat, ", ""),
    _xlpm.soy, IF(OR(ISNUMBER(SEARCH("soy",_xlpm.raw)),ISNUMBER(SEARCH("soya",_xlpm.raw)),ISNUMBER(SEARCH("soybeans",_xlpm.raw)),ISNUMBER(SEARCH("soy lecithin",_xlpm.raw))), "soy, ", ""),
    _xlpm.fish, IF(OR(ISNUMBER(SEARCH("fish",_xlpm.raw)),ISNUMBER(SEARCH("salmon",_xlpm.raw)),ISNUMBER(SEARCH("tuna",_xlpm.raw)),ISNUMBER(SEARCH("cod",_xlpm.raw))), "fish, ", ""),
    _xlpm.shellfish, IF(OR(ISNUMBER(SEARCH("shellfish",_xlpm.raw)),ISNUMBER(SEARCH("shrimp",_xlpm.raw)),ISNUMBER(SEARCH("prawn",_xlpm.raw)),ISNUMBER(SEARCH("crab",_xlpm.raw)),ISNUMBER(SEARCH("lobster",_xlpm.raw))), "shellfish, ", ""),
    _xlpm.sesame, IF(OR(ISNUMBER(SEARCH("sesame",_xlpm.raw)),ISNUMBER(SEARCH("sesame-seeds",_xlpm.raw))), "sesame, ", ""),
    _xlpm.mapped, _xlpm.milk &amp; _xlpm.egg &amp; _xlpm.peanut &amp; _xlpm.treenut &amp; _xlpm.wheat &amp; _xlpm.soy &amp; _xlpm.fish &amp; _xlpm.shellfish &amp; _xlpm.sesame,
    IF(_xlpm.mapped&lt;&gt;"", LEFT(_xlpm.mapped,LEN(_xlpm.mapped)-2), "")
)</f>
        <v>wheat</v>
      </c>
      <c r="F130" t="s">
        <v>413</v>
      </c>
    </row>
    <row r="131" spans="1:6" ht="18.75" customHeight="1" x14ac:dyDescent="0.3">
      <c r="A131" s="1">
        <v>3272770098090</v>
      </c>
      <c r="B131" t="s">
        <v>414</v>
      </c>
      <c r="C131" t="s">
        <v>415</v>
      </c>
      <c r="D131" t="s">
        <v>11</v>
      </c>
      <c r="E131" t="str">
        <f t="shared" si="4"/>
        <v>milk</v>
      </c>
      <c r="F131" t="s">
        <v>416</v>
      </c>
    </row>
    <row r="132" spans="1:6" ht="18.75" customHeight="1" x14ac:dyDescent="0.3">
      <c r="A132" s="1">
        <v>6111184004716</v>
      </c>
      <c r="B132" t="s">
        <v>417</v>
      </c>
      <c r="C132" t="s">
        <v>418</v>
      </c>
      <c r="D132" t="s">
        <v>419</v>
      </c>
      <c r="E132" t="str">
        <f t="shared" si="4"/>
        <v/>
      </c>
      <c r="F132" t="s">
        <v>420</v>
      </c>
    </row>
    <row r="133" spans="1:6" ht="18.75" customHeight="1" x14ac:dyDescent="0.3">
      <c r="A133" s="1">
        <v>5060198641251</v>
      </c>
      <c r="B133" t="s">
        <v>421</v>
      </c>
      <c r="C133" t="s">
        <v>422</v>
      </c>
      <c r="D133" t="s">
        <v>30</v>
      </c>
      <c r="E133" t="str">
        <f t="shared" si="4"/>
        <v>wheat</v>
      </c>
      <c r="F133" t="s">
        <v>423</v>
      </c>
    </row>
    <row r="134" spans="1:6" ht="18.75" customHeight="1" x14ac:dyDescent="0.3">
      <c r="A134" s="1">
        <v>3229820181950</v>
      </c>
      <c r="B134" t="s">
        <v>424</v>
      </c>
      <c r="C134" t="s">
        <v>425</v>
      </c>
      <c r="D134" t="s">
        <v>426</v>
      </c>
      <c r="E134" t="str">
        <f t="shared" si="4"/>
        <v>milk, wheat, sesame</v>
      </c>
      <c r="F134" t="s">
        <v>427</v>
      </c>
    </row>
    <row r="135" spans="1:6" ht="18.75" customHeight="1" x14ac:dyDescent="0.3">
      <c r="A135" s="1">
        <v>5053990107339</v>
      </c>
      <c r="B135" t="s">
        <v>428</v>
      </c>
      <c r="C135" t="s">
        <v>429</v>
      </c>
      <c r="D135" t="s">
        <v>82</v>
      </c>
      <c r="E135" t="str">
        <f t="shared" si="4"/>
        <v>milk, wheat, soy</v>
      </c>
      <c r="F135" t="s">
        <v>430</v>
      </c>
    </row>
    <row r="136" spans="1:6" ht="18.75" customHeight="1" x14ac:dyDescent="0.3">
      <c r="A136" s="1">
        <v>8410376026962</v>
      </c>
      <c r="B136" t="s">
        <v>431</v>
      </c>
      <c r="C136" t="s">
        <v>432</v>
      </c>
      <c r="D136" t="s">
        <v>433</v>
      </c>
      <c r="E136" t="str">
        <f t="shared" si="4"/>
        <v>wheat, soy</v>
      </c>
      <c r="F136" t="s">
        <v>434</v>
      </c>
    </row>
    <row r="137" spans="1:6" ht="18.75" customHeight="1" x14ac:dyDescent="0.3">
      <c r="A137" s="1">
        <v>7613035530799</v>
      </c>
      <c r="B137" t="s">
        <v>435</v>
      </c>
      <c r="C137" t="s">
        <v>436</v>
      </c>
      <c r="D137" t="s">
        <v>34</v>
      </c>
      <c r="E137" t="str">
        <f t="shared" si="4"/>
        <v>soy</v>
      </c>
      <c r="F137" t="s">
        <v>437</v>
      </c>
    </row>
    <row r="138" spans="1:6" ht="18.75" customHeight="1" x14ac:dyDescent="0.3">
      <c r="A138" s="1">
        <v>6111032004455</v>
      </c>
      <c r="B138" t="s">
        <v>438</v>
      </c>
      <c r="C138" t="s">
        <v>439</v>
      </c>
      <c r="D138" t="s">
        <v>11</v>
      </c>
      <c r="E138" t="str">
        <f t="shared" si="4"/>
        <v>milk</v>
      </c>
      <c r="F138" t="s">
        <v>440</v>
      </c>
    </row>
    <row r="139" spans="1:6" ht="18.75" customHeight="1" x14ac:dyDescent="0.3">
      <c r="A139" s="1">
        <v>4088600060880</v>
      </c>
      <c r="B139" t="s">
        <v>441</v>
      </c>
      <c r="C139" t="s">
        <v>442</v>
      </c>
      <c r="D139" t="s">
        <v>11</v>
      </c>
      <c r="E139" t="str">
        <f t="shared" si="4"/>
        <v>milk</v>
      </c>
      <c r="F139" t="s">
        <v>443</v>
      </c>
    </row>
    <row r="140" spans="1:6" ht="18.75" customHeight="1" x14ac:dyDescent="0.3">
      <c r="A140" s="1">
        <v>5014213711290</v>
      </c>
      <c r="B140" t="s">
        <v>309</v>
      </c>
      <c r="C140" t="s">
        <v>444</v>
      </c>
      <c r="D140" t="s">
        <v>89</v>
      </c>
      <c r="E140" t="str">
        <f t="shared" si="4"/>
        <v>peanut, tree nut</v>
      </c>
      <c r="F140" t="s">
        <v>445</v>
      </c>
    </row>
    <row r="141" spans="1:6" ht="18.75" customHeight="1" x14ac:dyDescent="0.3">
      <c r="A141" s="1">
        <v>5060092690331</v>
      </c>
      <c r="B141" t="s">
        <v>208</v>
      </c>
      <c r="C141" t="s">
        <v>446</v>
      </c>
      <c r="D141" t="s">
        <v>210</v>
      </c>
      <c r="E141" t="str">
        <f t="shared" si="4"/>
        <v>egg</v>
      </c>
      <c r="F141" t="s">
        <v>447</v>
      </c>
    </row>
    <row r="142" spans="1:6" ht="18.75" customHeight="1" x14ac:dyDescent="0.3">
      <c r="A142" s="1">
        <v>7622210995087</v>
      </c>
      <c r="B142" t="s">
        <v>448</v>
      </c>
      <c r="C142" t="s">
        <v>449</v>
      </c>
      <c r="D142" t="s">
        <v>26</v>
      </c>
      <c r="E142" t="str">
        <f t="shared" si="4"/>
        <v>milk, tree nut, soy</v>
      </c>
      <c r="F142" t="s">
        <v>450</v>
      </c>
    </row>
    <row r="143" spans="1:6" ht="18.75" customHeight="1" x14ac:dyDescent="0.3">
      <c r="A143" s="1">
        <v>5018357012497</v>
      </c>
      <c r="B143" t="s">
        <v>451</v>
      </c>
      <c r="C143" t="s">
        <v>452</v>
      </c>
      <c r="D143" t="s">
        <v>30</v>
      </c>
      <c r="E143" t="str">
        <f t="shared" si="4"/>
        <v>wheat</v>
      </c>
      <c r="F143" t="s">
        <v>453</v>
      </c>
    </row>
    <row r="144" spans="1:6" ht="18.75" customHeight="1" x14ac:dyDescent="0.3">
      <c r="A144" s="1">
        <v>3033710065783</v>
      </c>
      <c r="B144" t="s">
        <v>454</v>
      </c>
      <c r="C144" t="s">
        <v>455</v>
      </c>
      <c r="D144" t="s">
        <v>34</v>
      </c>
      <c r="E144" t="str">
        <f t="shared" si="4"/>
        <v>soy</v>
      </c>
      <c r="F144" t="s">
        <v>456</v>
      </c>
    </row>
    <row r="145" spans="1:6" ht="18.75" customHeight="1" x14ac:dyDescent="0.3">
      <c r="A145" s="1">
        <v>5000111046244</v>
      </c>
      <c r="B145" t="s">
        <v>457</v>
      </c>
      <c r="C145" t="s">
        <v>458</v>
      </c>
      <c r="D145" t="s">
        <v>30</v>
      </c>
      <c r="E145" t="str">
        <f t="shared" si="4"/>
        <v>wheat</v>
      </c>
      <c r="F145" t="s">
        <v>459</v>
      </c>
    </row>
    <row r="146" spans="1:6" ht="18.75" customHeight="1" x14ac:dyDescent="0.3">
      <c r="A146" s="1">
        <v>3228857000852</v>
      </c>
      <c r="B146" t="s">
        <v>460</v>
      </c>
      <c r="C146" t="s">
        <v>461</v>
      </c>
      <c r="D146" t="s">
        <v>30</v>
      </c>
      <c r="E146" t="str">
        <f t="shared" si="4"/>
        <v>wheat</v>
      </c>
      <c r="F146" t="s">
        <v>462</v>
      </c>
    </row>
    <row r="147" spans="1:6" ht="18.75" customHeight="1" x14ac:dyDescent="0.3">
      <c r="A147" s="1">
        <v>80135876</v>
      </c>
      <c r="B147" t="s">
        <v>463</v>
      </c>
      <c r="C147" t="s">
        <v>464</v>
      </c>
      <c r="D147" t="s">
        <v>248</v>
      </c>
      <c r="E147" t="str">
        <f t="shared" si="4"/>
        <v>tree nut, soy</v>
      </c>
      <c r="F147" t="s">
        <v>465</v>
      </c>
    </row>
    <row r="148" spans="1:6" ht="18.75" customHeight="1" x14ac:dyDescent="0.3">
      <c r="A148" s="1">
        <v>3366321051686</v>
      </c>
      <c r="B148" t="s">
        <v>466</v>
      </c>
      <c r="C148" t="s">
        <v>467</v>
      </c>
      <c r="D148" t="s">
        <v>34</v>
      </c>
      <c r="E148" t="str">
        <f t="shared" si="4"/>
        <v>soy</v>
      </c>
      <c r="F148" t="s">
        <v>468</v>
      </c>
    </row>
    <row r="149" spans="1:6" ht="18.75" customHeight="1" x14ac:dyDescent="0.3">
      <c r="A149" s="1">
        <v>7613287194374</v>
      </c>
      <c r="B149" t="s">
        <v>469</v>
      </c>
      <c r="C149" t="s">
        <v>470</v>
      </c>
      <c r="D149" t="s">
        <v>30</v>
      </c>
      <c r="E149" t="str">
        <f t="shared" si="4"/>
        <v>wheat</v>
      </c>
      <c r="F149" t="s">
        <v>471</v>
      </c>
    </row>
    <row r="150" spans="1:6" ht="18.75" customHeight="1" x14ac:dyDescent="0.3">
      <c r="A150" s="1">
        <v>8000500082379</v>
      </c>
      <c r="B150" t="s">
        <v>131</v>
      </c>
      <c r="C150" t="s">
        <v>472</v>
      </c>
      <c r="D150" t="s">
        <v>26</v>
      </c>
      <c r="E150" t="str">
        <f t="shared" si="4"/>
        <v>milk, tree nut, soy</v>
      </c>
      <c r="F150" t="s">
        <v>473</v>
      </c>
    </row>
    <row r="151" spans="1:6" ht="18.75" customHeight="1" x14ac:dyDescent="0.3">
      <c r="A151" s="1">
        <v>5000246728749</v>
      </c>
      <c r="B151" t="s">
        <v>474</v>
      </c>
      <c r="C151" t="s">
        <v>475</v>
      </c>
      <c r="D151" t="s">
        <v>11</v>
      </c>
      <c r="E151" t="str">
        <f t="shared" si="4"/>
        <v>milk</v>
      </c>
      <c r="F151" t="s">
        <v>476</v>
      </c>
    </row>
    <row r="152" spans="1:6" ht="18.75" customHeight="1" x14ac:dyDescent="0.3">
      <c r="A152" s="1">
        <v>6111035002175</v>
      </c>
      <c r="B152" t="s">
        <v>477</v>
      </c>
      <c r="C152" t="s">
        <v>478</v>
      </c>
      <c r="E152" t="str">
        <f t="shared" si="4"/>
        <v/>
      </c>
      <c r="F152" t="s">
        <v>479</v>
      </c>
    </row>
    <row r="153" spans="1:6" ht="18.75" customHeight="1" x14ac:dyDescent="0.3">
      <c r="A153" s="1">
        <v>6111035000058</v>
      </c>
      <c r="B153" t="s">
        <v>480</v>
      </c>
      <c r="C153" t="s">
        <v>481</v>
      </c>
      <c r="E153" t="str">
        <f t="shared" si="4"/>
        <v/>
      </c>
      <c r="F153" t="s">
        <v>482</v>
      </c>
    </row>
    <row r="154" spans="1:6" ht="18.75" customHeight="1" x14ac:dyDescent="0.3">
      <c r="A154" s="1">
        <v>6111242106949</v>
      </c>
      <c r="B154" t="s">
        <v>483</v>
      </c>
      <c r="C154" t="s">
        <v>484</v>
      </c>
      <c r="E154" t="str">
        <f t="shared" si="4"/>
        <v/>
      </c>
      <c r="F154" t="s">
        <v>485</v>
      </c>
    </row>
    <row r="155" spans="1:6" ht="18.75" customHeight="1" x14ac:dyDescent="0.3">
      <c r="A155" s="1">
        <v>6111099003897</v>
      </c>
      <c r="B155" t="s">
        <v>486</v>
      </c>
      <c r="C155" t="s">
        <v>487</v>
      </c>
      <c r="E155" t="str">
        <f t="shared" si="4"/>
        <v/>
      </c>
      <c r="F155" t="s">
        <v>488</v>
      </c>
    </row>
    <row r="156" spans="1:6" ht="18.75" customHeight="1" x14ac:dyDescent="0.3">
      <c r="A156" s="1">
        <v>3046920029759</v>
      </c>
      <c r="B156" t="s">
        <v>489</v>
      </c>
      <c r="C156" t="s">
        <v>490</v>
      </c>
      <c r="E156" t="str">
        <f t="shared" si="4"/>
        <v/>
      </c>
      <c r="F156" t="s">
        <v>491</v>
      </c>
    </row>
    <row r="157" spans="1:6" ht="18.75" customHeight="1" x14ac:dyDescent="0.3">
      <c r="A157" s="1">
        <v>6111035003035</v>
      </c>
      <c r="B157" t="s">
        <v>492</v>
      </c>
      <c r="C157" t="s">
        <v>493</v>
      </c>
      <c r="E157" t="str">
        <f t="shared" si="4"/>
        <v/>
      </c>
      <c r="F157" t="s">
        <v>494</v>
      </c>
    </row>
    <row r="158" spans="1:6" ht="18.75" customHeight="1" x14ac:dyDescent="0.3">
      <c r="A158" s="1">
        <v>6111128000163</v>
      </c>
      <c r="B158" t="s">
        <v>495</v>
      </c>
      <c r="C158" t="s">
        <v>496</v>
      </c>
      <c r="E158" t="str">
        <f t="shared" si="4"/>
        <v/>
      </c>
      <c r="F158" t="s">
        <v>497</v>
      </c>
    </row>
    <row r="159" spans="1:6" ht="18.75" customHeight="1" x14ac:dyDescent="0.3">
      <c r="A159" s="1">
        <v>3175680011480</v>
      </c>
      <c r="B159" t="s">
        <v>498</v>
      </c>
      <c r="C159" t="s">
        <v>499</v>
      </c>
      <c r="E159" t="str">
        <f t="shared" si="4"/>
        <v/>
      </c>
      <c r="F159" t="s">
        <v>500</v>
      </c>
    </row>
    <row r="160" spans="1:6" ht="18.75" customHeight="1" x14ac:dyDescent="0.3">
      <c r="A160" s="1">
        <v>6111242100206</v>
      </c>
      <c r="B160" t="s">
        <v>501</v>
      </c>
      <c r="C160" t="s">
        <v>502</v>
      </c>
      <c r="E160" t="str">
        <f t="shared" si="4"/>
        <v/>
      </c>
      <c r="F160" t="s">
        <v>503</v>
      </c>
    </row>
    <row r="161" spans="1:6" ht="18.75" customHeight="1" x14ac:dyDescent="0.3">
      <c r="A161" s="1">
        <v>54491472</v>
      </c>
      <c r="B161" t="s">
        <v>504</v>
      </c>
      <c r="C161" t="s">
        <v>505</v>
      </c>
      <c r="E161" t="str">
        <f t="shared" si="4"/>
        <v/>
      </c>
      <c r="F161" t="s">
        <v>506</v>
      </c>
    </row>
    <row r="162" spans="1:6" ht="18.75" customHeight="1" x14ac:dyDescent="0.3">
      <c r="A162" s="1">
        <v>3268840001008</v>
      </c>
      <c r="B162" t="s">
        <v>507</v>
      </c>
      <c r="C162" t="s">
        <v>507</v>
      </c>
      <c r="E162" t="str">
        <f t="shared" ref="E162:E193" si="5">_xlfn.LET(
    _xlpm.raw, LOWER(D162),
    _xlpm.milk, IF(OR(ISNUMBER(SEARCH("milk",_xlpm.raw)),ISNUMBER(SEARCH("whey",_xlpm.raw)),ISNUMBER(SEARCH("skimmed milk",_xlpm.raw)),ISNUMBER(SEARCH("skimmed milk powder",_xlpm.raw)),ISNUMBER(SEARCH("butter",_xlpm.raw)),ISNUMBER(SEARCH("condensed whey",_xlpm.raw))), "milk, ", ""),
    _xlpm.egg, IF(OR(ISNUMBER(SEARCH("egg",_xlpm.raw)),ISNUMBER(SEARCH("eggs",_xlpm.raw)),ISNUMBER(SEARCH("egg white",_xlpm.raw)),ISNUMBER(SEARCH("egg yolk",_xlpm.raw))), "egg, ", ""),
    _xlpm.peanut, IF(OR(ISNUMBER(SEARCH("peanut",_xlpm.raw)),ISNUMBER(SEARCH("peanuts",_xlpm.raw))), "peanut, ", ""),
    _xlpm.treenut, IF(OR(ISNUMBER(SEARCH("nut",_xlpm.raw)),ISNUMBER(SEARCH("almond",_xlpm.raw)),ISNUMBER(SEARCH("hazelnut",_xlpm.raw)),ISNUMBER(SEARCH("cashew",_xlpm.raw)),ISNUMBER(SEARCH("walnut",_xlpm.raw)),ISNUMBER(SEARCH("pistachio",_xlpm.raw))), "tree nut, ", ""),
    _xlpm.wheat, IF(OR(ISNUMBER(SEARCH("gluten",_xlpm.raw)),ISNUMBER(SEARCH("wheat",_xlpm.raw)),ISNUMBER(SEARCH("flour",_xlpm.raw))), "wheat, ", ""),
    _xlpm.soy, IF(OR(ISNUMBER(SEARCH("soy",_xlpm.raw)),ISNUMBER(SEARCH("soya",_xlpm.raw)),ISNUMBER(SEARCH("soybeans",_xlpm.raw)),ISNUMBER(SEARCH("soy lecithin",_xlpm.raw))), "soy, ", ""),
    _xlpm.fish, IF(OR(ISNUMBER(SEARCH("fish",_xlpm.raw)),ISNUMBER(SEARCH("salmon",_xlpm.raw)),ISNUMBER(SEARCH("tuna",_xlpm.raw)),ISNUMBER(SEARCH("cod",_xlpm.raw))), "fish, ", ""),
    _xlpm.shellfish, IF(OR(ISNUMBER(SEARCH("shellfish",_xlpm.raw)),ISNUMBER(SEARCH("shrimp",_xlpm.raw)),ISNUMBER(SEARCH("prawn",_xlpm.raw)),ISNUMBER(SEARCH("crab",_xlpm.raw)),ISNUMBER(SEARCH("lobster",_xlpm.raw))), "shellfish, ", ""),
    _xlpm.sesame, IF(OR(ISNUMBER(SEARCH("sesame",_xlpm.raw)),ISNUMBER(SEARCH("sesame-seeds",_xlpm.raw))), "sesame, ", ""),
    _xlpm.mapped, _xlpm.milk &amp; _xlpm.egg &amp; _xlpm.peanut &amp; _xlpm.treenut &amp; _xlpm.wheat &amp; _xlpm.soy &amp; _xlpm.fish &amp; _xlpm.shellfish &amp; _xlpm.sesame,
    IF(_xlpm.mapped&lt;&gt;"", LEFT(_xlpm.mapped,LEN(_xlpm.mapped)-2), "")
)</f>
        <v/>
      </c>
      <c r="F162" t="s">
        <v>508</v>
      </c>
    </row>
    <row r="163" spans="1:6" ht="18.75" customHeight="1" x14ac:dyDescent="0.3">
      <c r="A163" s="1">
        <v>5025125000112</v>
      </c>
      <c r="B163" t="s">
        <v>509</v>
      </c>
      <c r="C163" t="s">
        <v>510</v>
      </c>
      <c r="E163" t="str">
        <f t="shared" si="5"/>
        <v/>
      </c>
      <c r="F163" t="s">
        <v>511</v>
      </c>
    </row>
    <row r="164" spans="1:6" ht="18.75" customHeight="1" x14ac:dyDescent="0.3">
      <c r="A164" s="1">
        <v>5025125000037</v>
      </c>
      <c r="B164" t="s">
        <v>512</v>
      </c>
      <c r="C164" t="s">
        <v>513</v>
      </c>
      <c r="E164" t="str">
        <f t="shared" si="5"/>
        <v/>
      </c>
      <c r="F164" t="s">
        <v>514</v>
      </c>
    </row>
    <row r="165" spans="1:6" ht="18.75" customHeight="1" x14ac:dyDescent="0.3">
      <c r="A165" s="1">
        <v>6111032000600</v>
      </c>
      <c r="B165" t="s">
        <v>515</v>
      </c>
      <c r="C165" t="s">
        <v>516</v>
      </c>
      <c r="E165" t="str">
        <f t="shared" si="5"/>
        <v/>
      </c>
      <c r="F165" t="s">
        <v>517</v>
      </c>
    </row>
    <row r="166" spans="1:6" ht="18.75" customHeight="1" x14ac:dyDescent="0.3">
      <c r="A166" s="1">
        <v>5449000214911</v>
      </c>
      <c r="B166" t="s">
        <v>518</v>
      </c>
      <c r="C166" t="s">
        <v>519</v>
      </c>
      <c r="E166" t="str">
        <f t="shared" si="5"/>
        <v/>
      </c>
      <c r="F166" t="s">
        <v>520</v>
      </c>
    </row>
    <row r="167" spans="1:6" ht="18.75" customHeight="1" x14ac:dyDescent="0.3">
      <c r="A167" s="1">
        <v>7622210578464</v>
      </c>
      <c r="B167" t="s">
        <v>521</v>
      </c>
      <c r="C167" t="s">
        <v>522</v>
      </c>
      <c r="E167" t="str">
        <f t="shared" si="5"/>
        <v/>
      </c>
      <c r="F167" t="s">
        <v>523</v>
      </c>
    </row>
    <row r="168" spans="1:6" ht="18.75" customHeight="1" x14ac:dyDescent="0.3">
      <c r="A168" s="1">
        <v>6111246954461</v>
      </c>
      <c r="B168" t="s">
        <v>524</v>
      </c>
      <c r="C168" t="s">
        <v>525</v>
      </c>
      <c r="E168" t="str">
        <f t="shared" si="5"/>
        <v/>
      </c>
      <c r="F168" t="s">
        <v>526</v>
      </c>
    </row>
    <row r="169" spans="1:6" ht="18.75" customHeight="1" x14ac:dyDescent="0.3">
      <c r="A169" s="1">
        <v>6111251420166</v>
      </c>
      <c r="B169" t="s">
        <v>527</v>
      </c>
      <c r="C169" t="s">
        <v>528</v>
      </c>
      <c r="E169" t="str">
        <f t="shared" si="5"/>
        <v/>
      </c>
      <c r="F169" t="s">
        <v>529</v>
      </c>
    </row>
    <row r="170" spans="1:6" ht="18.75" customHeight="1" x14ac:dyDescent="0.3">
      <c r="A170" s="1">
        <v>5449000214799</v>
      </c>
      <c r="B170" t="s">
        <v>530</v>
      </c>
      <c r="C170" t="s">
        <v>531</v>
      </c>
      <c r="E170" t="str">
        <f t="shared" si="5"/>
        <v/>
      </c>
      <c r="F170" t="s">
        <v>532</v>
      </c>
    </row>
    <row r="171" spans="1:6" ht="18.75" customHeight="1" x14ac:dyDescent="0.3">
      <c r="A171" s="1">
        <v>5060042641000</v>
      </c>
      <c r="B171" t="s">
        <v>533</v>
      </c>
      <c r="C171" t="s">
        <v>534</v>
      </c>
      <c r="E171" t="str">
        <f t="shared" si="5"/>
        <v/>
      </c>
      <c r="F171" t="s">
        <v>535</v>
      </c>
    </row>
    <row r="172" spans="1:6" ht="18.75" customHeight="1" x14ac:dyDescent="0.3">
      <c r="A172" s="1">
        <v>7622210584724</v>
      </c>
      <c r="B172" t="s">
        <v>536</v>
      </c>
      <c r="C172" t="s">
        <v>537</v>
      </c>
      <c r="E172" t="str">
        <f t="shared" si="5"/>
        <v/>
      </c>
      <c r="F172" t="s">
        <v>538</v>
      </c>
    </row>
    <row r="173" spans="1:6" ht="18.75" customHeight="1" x14ac:dyDescent="0.3">
      <c r="A173" s="1">
        <v>3057640257773</v>
      </c>
      <c r="B173" t="s">
        <v>539</v>
      </c>
      <c r="C173" t="s">
        <v>540</v>
      </c>
      <c r="E173" t="str">
        <f t="shared" si="5"/>
        <v/>
      </c>
      <c r="F173" t="s">
        <v>541</v>
      </c>
    </row>
    <row r="174" spans="1:6" ht="18.75" customHeight="1" x14ac:dyDescent="0.3">
      <c r="A174" s="1">
        <v>3046920022606</v>
      </c>
      <c r="B174" t="s">
        <v>542</v>
      </c>
      <c r="C174" t="s">
        <v>543</v>
      </c>
      <c r="E174" t="str">
        <f t="shared" si="5"/>
        <v/>
      </c>
      <c r="F174" t="s">
        <v>544</v>
      </c>
    </row>
    <row r="175" spans="1:6" ht="18.75" customHeight="1" x14ac:dyDescent="0.3">
      <c r="A175" s="1">
        <v>3155251205296</v>
      </c>
      <c r="B175" t="s">
        <v>545</v>
      </c>
      <c r="C175" t="s">
        <v>546</v>
      </c>
      <c r="E175" t="str">
        <f t="shared" si="5"/>
        <v/>
      </c>
      <c r="F175" t="s">
        <v>547</v>
      </c>
    </row>
    <row r="176" spans="1:6" ht="18.75" customHeight="1" x14ac:dyDescent="0.3">
      <c r="A176" s="1">
        <v>6111251753912</v>
      </c>
      <c r="B176" t="s">
        <v>548</v>
      </c>
      <c r="C176" t="s">
        <v>549</v>
      </c>
      <c r="E176" t="str">
        <f t="shared" si="5"/>
        <v/>
      </c>
      <c r="F176" t="s">
        <v>550</v>
      </c>
    </row>
    <row r="177" spans="1:6" ht="18.75" customHeight="1" x14ac:dyDescent="0.3">
      <c r="A177" s="1">
        <v>5013665100065</v>
      </c>
      <c r="B177" t="s">
        <v>551</v>
      </c>
      <c r="C177" t="s">
        <v>552</v>
      </c>
      <c r="E177" t="str">
        <f t="shared" si="5"/>
        <v/>
      </c>
      <c r="F177" t="s">
        <v>553</v>
      </c>
    </row>
    <row r="178" spans="1:6" ht="18.75" customHeight="1" x14ac:dyDescent="0.3">
      <c r="A178" s="1">
        <v>6923818812082</v>
      </c>
      <c r="B178" t="s">
        <v>554</v>
      </c>
      <c r="C178" t="s">
        <v>555</v>
      </c>
      <c r="E178" t="str">
        <f t="shared" si="5"/>
        <v/>
      </c>
      <c r="F178" t="s">
        <v>556</v>
      </c>
    </row>
    <row r="179" spans="1:6" ht="18.75" customHeight="1" x14ac:dyDescent="0.3">
      <c r="A179" s="1">
        <v>6111032001010</v>
      </c>
      <c r="B179" t="s">
        <v>557</v>
      </c>
      <c r="C179" t="s">
        <v>558</v>
      </c>
      <c r="E179" t="str">
        <f t="shared" si="5"/>
        <v/>
      </c>
      <c r="F179" t="s">
        <v>559</v>
      </c>
    </row>
    <row r="180" spans="1:6" ht="18.75" customHeight="1" x14ac:dyDescent="0.3">
      <c r="A180" s="1">
        <v>8002270014901</v>
      </c>
      <c r="B180" t="s">
        <v>560</v>
      </c>
      <c r="C180" t="s">
        <v>561</v>
      </c>
      <c r="E180" t="str">
        <f t="shared" si="5"/>
        <v/>
      </c>
      <c r="F180" t="s">
        <v>562</v>
      </c>
    </row>
    <row r="181" spans="1:6" ht="18.75" customHeight="1" x14ac:dyDescent="0.3">
      <c r="A181" s="1">
        <v>3046920028004</v>
      </c>
      <c r="B181" t="s">
        <v>563</v>
      </c>
      <c r="C181" t="s">
        <v>564</v>
      </c>
      <c r="E181" t="str">
        <f t="shared" si="5"/>
        <v/>
      </c>
      <c r="F181" t="s">
        <v>565</v>
      </c>
    </row>
    <row r="182" spans="1:6" ht="18.75" customHeight="1" x14ac:dyDescent="0.3">
      <c r="A182" s="1">
        <v>5449000054227</v>
      </c>
      <c r="B182" t="s">
        <v>566</v>
      </c>
      <c r="C182" t="s">
        <v>567</v>
      </c>
      <c r="E182" t="str">
        <f t="shared" si="5"/>
        <v/>
      </c>
      <c r="F182" t="s">
        <v>568</v>
      </c>
    </row>
    <row r="183" spans="1:6" ht="18.75" customHeight="1" x14ac:dyDescent="0.3">
      <c r="A183" s="1">
        <v>3068320123264</v>
      </c>
      <c r="B183" t="s">
        <v>569</v>
      </c>
      <c r="C183" t="s">
        <v>570</v>
      </c>
      <c r="E183" t="str">
        <f t="shared" si="5"/>
        <v/>
      </c>
      <c r="F183" t="s">
        <v>571</v>
      </c>
    </row>
    <row r="184" spans="1:6" ht="18.75" customHeight="1" x14ac:dyDescent="0.3">
      <c r="A184" s="1">
        <v>5010265002911</v>
      </c>
      <c r="B184" t="s">
        <v>572</v>
      </c>
      <c r="C184" t="s">
        <v>573</v>
      </c>
      <c r="E184" t="str">
        <f t="shared" si="5"/>
        <v/>
      </c>
      <c r="F184" t="s">
        <v>574</v>
      </c>
    </row>
    <row r="185" spans="1:6" ht="18.75" customHeight="1" x14ac:dyDescent="0.3">
      <c r="A185" s="1">
        <v>5449000131805</v>
      </c>
      <c r="B185" t="s">
        <v>575</v>
      </c>
      <c r="C185" t="s">
        <v>576</v>
      </c>
      <c r="E185" t="str">
        <f t="shared" si="5"/>
        <v/>
      </c>
      <c r="F185" t="s">
        <v>577</v>
      </c>
    </row>
    <row r="186" spans="1:6" ht="18.75" customHeight="1" x14ac:dyDescent="0.3">
      <c r="A186" s="1">
        <v>5449000131836</v>
      </c>
      <c r="B186" t="s">
        <v>578</v>
      </c>
      <c r="C186" t="s">
        <v>579</v>
      </c>
      <c r="E186" t="str">
        <f t="shared" si="5"/>
        <v/>
      </c>
      <c r="F186" t="s">
        <v>580</v>
      </c>
    </row>
    <row r="187" spans="1:6" ht="18.75" customHeight="1" x14ac:dyDescent="0.3">
      <c r="A187" s="1">
        <v>10596975</v>
      </c>
      <c r="B187" t="s">
        <v>581</v>
      </c>
      <c r="C187" t="s">
        <v>582</v>
      </c>
      <c r="E187" t="str">
        <f t="shared" si="5"/>
        <v/>
      </c>
      <c r="F187" t="s">
        <v>583</v>
      </c>
    </row>
    <row r="188" spans="1:6" ht="18.75" customHeight="1" x14ac:dyDescent="0.3">
      <c r="A188" s="1">
        <v>3046920028363</v>
      </c>
      <c r="B188" t="s">
        <v>584</v>
      </c>
      <c r="C188" t="s">
        <v>585</v>
      </c>
      <c r="E188" t="str">
        <f t="shared" si="5"/>
        <v/>
      </c>
      <c r="F188" t="s">
        <v>586</v>
      </c>
    </row>
    <row r="189" spans="1:6" ht="18.75" customHeight="1" x14ac:dyDescent="0.3">
      <c r="A189" s="1">
        <v>6111245591063</v>
      </c>
      <c r="B189" t="s">
        <v>587</v>
      </c>
      <c r="C189" t="s">
        <v>588</v>
      </c>
      <c r="E189" t="str">
        <f t="shared" si="5"/>
        <v/>
      </c>
      <c r="F189" t="s">
        <v>589</v>
      </c>
    </row>
    <row r="190" spans="1:6" ht="18.75" customHeight="1" x14ac:dyDescent="0.3">
      <c r="A190" s="1">
        <v>8410076801180</v>
      </c>
      <c r="B190" t="s">
        <v>590</v>
      </c>
      <c r="C190" t="s">
        <v>591</v>
      </c>
      <c r="E190" t="str">
        <f t="shared" si="5"/>
        <v/>
      </c>
      <c r="F190" t="s">
        <v>592</v>
      </c>
    </row>
    <row r="191" spans="1:6" ht="18.75" customHeight="1" x14ac:dyDescent="0.3">
      <c r="A191" s="1">
        <v>5449000133328</v>
      </c>
      <c r="B191" t="s">
        <v>593</v>
      </c>
      <c r="C191" t="s">
        <v>594</v>
      </c>
      <c r="E191" t="str">
        <f t="shared" si="5"/>
        <v/>
      </c>
      <c r="F191" t="s">
        <v>595</v>
      </c>
    </row>
    <row r="192" spans="1:6" ht="18.75" customHeight="1" x14ac:dyDescent="0.3">
      <c r="A192" s="1">
        <v>5449000000439</v>
      </c>
      <c r="B192" t="s">
        <v>596</v>
      </c>
      <c r="C192" t="s">
        <v>597</v>
      </c>
      <c r="E192" t="str">
        <f t="shared" si="5"/>
        <v/>
      </c>
      <c r="F192" t="s">
        <v>598</v>
      </c>
    </row>
    <row r="193" spans="1:6" ht="18.75" customHeight="1" x14ac:dyDescent="0.3">
      <c r="A193" s="1">
        <v>42105220</v>
      </c>
      <c r="B193" t="s">
        <v>599</v>
      </c>
      <c r="C193" t="s">
        <v>600</v>
      </c>
      <c r="E193" t="str">
        <f t="shared" si="5"/>
        <v/>
      </c>
      <c r="F193" t="s">
        <v>601</v>
      </c>
    </row>
    <row r="194" spans="1:6" ht="18.75" customHeight="1" x14ac:dyDescent="0.3">
      <c r="A194" s="1">
        <v>5036589252450</v>
      </c>
      <c r="B194" t="s">
        <v>602</v>
      </c>
      <c r="C194" t="s">
        <v>603</v>
      </c>
      <c r="E194" t="str">
        <f t="shared" ref="E194:E225" si="6">_xlfn.LET(
    _xlpm.raw, LOWER(D194),
    _xlpm.milk, IF(OR(ISNUMBER(SEARCH("milk",_xlpm.raw)),ISNUMBER(SEARCH("whey",_xlpm.raw)),ISNUMBER(SEARCH("skimmed milk",_xlpm.raw)),ISNUMBER(SEARCH("skimmed milk powder",_xlpm.raw)),ISNUMBER(SEARCH("butter",_xlpm.raw)),ISNUMBER(SEARCH("condensed whey",_xlpm.raw))), "milk, ", ""),
    _xlpm.egg, IF(OR(ISNUMBER(SEARCH("egg",_xlpm.raw)),ISNUMBER(SEARCH("eggs",_xlpm.raw)),ISNUMBER(SEARCH("egg white",_xlpm.raw)),ISNUMBER(SEARCH("egg yolk",_xlpm.raw))), "egg, ", ""),
    _xlpm.peanut, IF(OR(ISNUMBER(SEARCH("peanut",_xlpm.raw)),ISNUMBER(SEARCH("peanuts",_xlpm.raw))), "peanut, ", ""),
    _xlpm.treenut, IF(OR(ISNUMBER(SEARCH("nut",_xlpm.raw)),ISNUMBER(SEARCH("almond",_xlpm.raw)),ISNUMBER(SEARCH("hazelnut",_xlpm.raw)),ISNUMBER(SEARCH("cashew",_xlpm.raw)),ISNUMBER(SEARCH("walnut",_xlpm.raw)),ISNUMBER(SEARCH("pistachio",_xlpm.raw))), "tree nut, ", ""),
    _xlpm.wheat, IF(OR(ISNUMBER(SEARCH("gluten",_xlpm.raw)),ISNUMBER(SEARCH("wheat",_xlpm.raw)),ISNUMBER(SEARCH("flour",_xlpm.raw))), "wheat, ", ""),
    _xlpm.soy, IF(OR(ISNUMBER(SEARCH("soy",_xlpm.raw)),ISNUMBER(SEARCH("soya",_xlpm.raw)),ISNUMBER(SEARCH("soybeans",_xlpm.raw)),ISNUMBER(SEARCH("soy lecithin",_xlpm.raw))), "soy, ", ""),
    _xlpm.fish, IF(OR(ISNUMBER(SEARCH("fish",_xlpm.raw)),ISNUMBER(SEARCH("salmon",_xlpm.raw)),ISNUMBER(SEARCH("tuna",_xlpm.raw)),ISNUMBER(SEARCH("cod",_xlpm.raw))), "fish, ", ""),
    _xlpm.shellfish, IF(OR(ISNUMBER(SEARCH("shellfish",_xlpm.raw)),ISNUMBER(SEARCH("shrimp",_xlpm.raw)),ISNUMBER(SEARCH("prawn",_xlpm.raw)),ISNUMBER(SEARCH("crab",_xlpm.raw)),ISNUMBER(SEARCH("lobster",_xlpm.raw))), "shellfish, ", ""),
    _xlpm.sesame, IF(OR(ISNUMBER(SEARCH("sesame",_xlpm.raw)),ISNUMBER(SEARCH("sesame-seeds",_xlpm.raw))), "sesame, ", ""),
    _xlpm.mapped, _xlpm.milk &amp; _xlpm.egg &amp; _xlpm.peanut &amp; _xlpm.treenut &amp; _xlpm.wheat &amp; _xlpm.soy &amp; _xlpm.fish &amp; _xlpm.shellfish &amp; _xlpm.sesame,
    IF(_xlpm.mapped&lt;&gt;"", LEFT(_xlpm.mapped,LEN(_xlpm.mapped)-2), "")
)</f>
        <v/>
      </c>
      <c r="F194" t="s">
        <v>604</v>
      </c>
    </row>
    <row r="195" spans="1:6" ht="18.75" customHeight="1" x14ac:dyDescent="0.3">
      <c r="A195" s="1">
        <v>5000157024671</v>
      </c>
      <c r="B195" t="s">
        <v>605</v>
      </c>
      <c r="C195" t="s">
        <v>606</v>
      </c>
      <c r="E195" t="str">
        <f t="shared" si="6"/>
        <v/>
      </c>
      <c r="F195" t="s">
        <v>607</v>
      </c>
    </row>
    <row r="196" spans="1:6" ht="18.75" customHeight="1" x14ac:dyDescent="0.3">
      <c r="A196" s="1">
        <v>3225350000501</v>
      </c>
      <c r="B196" t="s">
        <v>608</v>
      </c>
      <c r="C196" t="s">
        <v>609</v>
      </c>
      <c r="E196" t="str">
        <f t="shared" si="6"/>
        <v/>
      </c>
      <c r="F196" t="s">
        <v>610</v>
      </c>
    </row>
    <row r="197" spans="1:6" ht="18.75" customHeight="1" x14ac:dyDescent="0.3">
      <c r="A197" s="1">
        <v>10614594</v>
      </c>
      <c r="B197" t="s">
        <v>611</v>
      </c>
      <c r="C197" t="s">
        <v>612</v>
      </c>
      <c r="E197" t="str">
        <f t="shared" si="6"/>
        <v/>
      </c>
      <c r="F197" t="s">
        <v>613</v>
      </c>
    </row>
    <row r="198" spans="1:6" ht="18.75" customHeight="1" x14ac:dyDescent="0.3">
      <c r="A198" s="1">
        <v>3088543506255</v>
      </c>
      <c r="B198" t="s">
        <v>614</v>
      </c>
      <c r="C198" t="s">
        <v>615</v>
      </c>
      <c r="E198" t="str">
        <f t="shared" si="6"/>
        <v/>
      </c>
      <c r="F198" t="s">
        <v>616</v>
      </c>
    </row>
    <row r="199" spans="1:6" ht="18.75" customHeight="1" x14ac:dyDescent="0.3">
      <c r="A199" s="1">
        <v>5057967395088</v>
      </c>
      <c r="B199" t="s">
        <v>617</v>
      </c>
      <c r="C199" t="s">
        <v>618</v>
      </c>
      <c r="E199" t="str">
        <f t="shared" si="6"/>
        <v/>
      </c>
      <c r="F199" t="s">
        <v>619</v>
      </c>
    </row>
    <row r="200" spans="1:6" ht="18.75" customHeight="1" x14ac:dyDescent="0.3">
      <c r="A200" s="1">
        <v>3088542500285</v>
      </c>
      <c r="B200" t="s">
        <v>620</v>
      </c>
      <c r="C200" t="s">
        <v>621</v>
      </c>
      <c r="E200" t="str">
        <f t="shared" si="6"/>
        <v/>
      </c>
      <c r="F200" t="s">
        <v>622</v>
      </c>
    </row>
    <row r="201" spans="1:6" ht="18.75" customHeight="1" x14ac:dyDescent="0.3">
      <c r="A201" s="1">
        <v>4088600246291</v>
      </c>
      <c r="B201" t="s">
        <v>623</v>
      </c>
      <c r="C201" t="s">
        <v>624</v>
      </c>
      <c r="E201" t="str">
        <f t="shared" si="6"/>
        <v/>
      </c>
      <c r="F201" t="s">
        <v>625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foodDraw</vt:lpstr>
      <vt:lpstr>Sheet1</vt:lpstr>
      <vt:lpstr>foodDraw!ExternalData_1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Tee Yong Jian</cp:lastModifiedBy>
  <dcterms:created xsi:type="dcterms:W3CDTF">2025-12-23T13:17:44Z</dcterms:created>
  <dcterms:modified xsi:type="dcterms:W3CDTF">2025-12-23T13:41:50Z</dcterms:modified>
</cp:coreProperties>
</file>